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giovannini.eduardogmail.com/Desktop/"/>
    </mc:Choice>
  </mc:AlternateContent>
  <xr:revisionPtr revIDLastSave="0" documentId="13_ncr:2001_{5D9A044C-912C-B14C-B5CB-9226758E1137}" xr6:coauthVersionLast="47" xr6:coauthVersionMax="47" xr10:uidLastSave="{00000000-0000-0000-0000-000000000000}"/>
  <bookViews>
    <workbookView xWindow="0" yWindow="620" windowWidth="51200" windowHeight="28180" tabRatio="500" activeTab="1" xr2:uid="{00000000-000D-0000-FFFF-FFFF00000000}"/>
  </bookViews>
  <sheets>
    <sheet name="TERMINAL" sheetId="12" r:id="rId1"/>
    <sheet name="INFRA_CHANGES" sheetId="13" r:id="rId2"/>
    <sheet name="BALANCES" sheetId="1" r:id="rId3"/>
    <sheet name="FX_OPS" sheetId="2" r:id="rId4"/>
    <sheet name="TRANSACTIONS" sheetId="3" r:id="rId5"/>
    <sheet name="SUBSCRIPTIONS" sheetId="4" r:id="rId6"/>
    <sheet name="PIX" sheetId="5" r:id="rId7"/>
    <sheet name="REPOS" sheetId="6" r:id="rId8"/>
    <sheet name="PROJECTS" sheetId="7" r:id="rId9"/>
    <sheet name="CONFIG" sheetId="8" r:id="rId10"/>
    <sheet name="MONTHLY" sheetId="9" r:id="rId11"/>
    <sheet name="CATEGORIES" sheetId="10" r:id="rId12"/>
    <sheet name="ALERTS" sheetId="11" r:id="rId13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2" l="1"/>
  <c r="A25" i="12"/>
  <c r="A24" i="12"/>
  <c r="A27" i="12"/>
  <c r="K6" i="12"/>
  <c r="H6" i="12"/>
  <c r="D6" i="12"/>
  <c r="A6" i="12"/>
  <c r="D22" i="11"/>
  <c r="C22" i="11"/>
  <c r="D21" i="11"/>
  <c r="C21" i="11"/>
  <c r="D20" i="11"/>
  <c r="C20" i="11"/>
  <c r="D19" i="11"/>
  <c r="C19" i="11"/>
  <c r="B22" i="10"/>
  <c r="C22" i="10" s="1"/>
  <c r="B21" i="10"/>
  <c r="C21" i="10" s="1"/>
  <c r="B20" i="10"/>
  <c r="C20" i="10" s="1"/>
  <c r="B19" i="10"/>
  <c r="C19" i="10" s="1"/>
  <c r="E16" i="10"/>
  <c r="B16" i="10"/>
  <c r="D22" i="9"/>
  <c r="E22" i="9" s="1"/>
  <c r="D21" i="9"/>
  <c r="E21" i="9" s="1"/>
  <c r="D20" i="9"/>
  <c r="E20" i="9" s="1"/>
  <c r="D19" i="9"/>
  <c r="E19" i="9" s="1"/>
  <c r="D18" i="9"/>
  <c r="E18" i="9" s="1"/>
  <c r="D17" i="9"/>
  <c r="E17" i="9" s="1"/>
  <c r="G12" i="9"/>
  <c r="E12" i="9"/>
  <c r="I11" i="9"/>
  <c r="I12" i="9" s="1"/>
  <c r="H11" i="9"/>
  <c r="G11" i="9"/>
  <c r="F11" i="9"/>
  <c r="F12" i="9" s="1"/>
  <c r="E11" i="9"/>
  <c r="D11" i="9"/>
  <c r="D12" i="9" s="1"/>
  <c r="C11" i="9"/>
  <c r="B11" i="9"/>
  <c r="B12" i="9" s="1"/>
  <c r="B15" i="7"/>
  <c r="B14" i="7"/>
  <c r="B13" i="7"/>
  <c r="B12" i="6"/>
  <c r="B11" i="6"/>
  <c r="B10" i="6"/>
  <c r="B9" i="6"/>
  <c r="F6" i="6"/>
  <c r="I6" i="6" s="1"/>
  <c r="F5" i="6"/>
  <c r="I5" i="6" s="1"/>
  <c r="D41" i="5"/>
  <c r="D40" i="5"/>
  <c r="D39" i="5"/>
  <c r="D38" i="5"/>
  <c r="D37" i="5"/>
  <c r="E27" i="4"/>
  <c r="E26" i="4"/>
  <c r="F24" i="4"/>
  <c r="E24" i="4"/>
  <c r="F23" i="4"/>
  <c r="E23" i="4"/>
  <c r="F22" i="4"/>
  <c r="E22" i="4"/>
  <c r="E67" i="3"/>
  <c r="E66" i="3"/>
  <c r="D45" i="2"/>
  <c r="C45" i="2"/>
  <c r="B45" i="2"/>
  <c r="D44" i="2"/>
  <c r="C44" i="2"/>
  <c r="B44" i="2"/>
  <c r="E43" i="2"/>
  <c r="D43" i="2"/>
  <c r="C43" i="2"/>
  <c r="B43" i="2"/>
  <c r="E42" i="2"/>
  <c r="D42" i="2"/>
  <c r="C42" i="2"/>
  <c r="B42" i="2"/>
  <c r="E41" i="2"/>
  <c r="D41" i="2"/>
  <c r="C41" i="2"/>
  <c r="B41" i="2"/>
  <c r="C14" i="1"/>
  <c r="D13" i="1"/>
  <c r="C13" i="1"/>
  <c r="C15" i="1" s="1"/>
  <c r="C9" i="1"/>
  <c r="C17" i="1" s="1"/>
</calcChain>
</file>

<file path=xl/sharedStrings.xml><?xml version="1.0" encoding="utf-8"?>
<sst xmlns="http://schemas.openxmlformats.org/spreadsheetml/2006/main" count="1244" uniqueCount="614">
  <si>
    <t>◆ BALANCES — Bank &amp; Investment Accounts</t>
  </si>
  <si>
    <t>Update balances weekly. Blue cells = your input. Black cells = formulas.</t>
  </si>
  <si>
    <t>Institution</t>
  </si>
  <si>
    <t>Type</t>
  </si>
  <si>
    <t>Balance (BRL)</t>
  </si>
  <si>
    <t>Balance (USD)</t>
  </si>
  <si>
    <t>Last Updated</t>
  </si>
  <si>
    <t>Status</t>
  </si>
  <si>
    <t>Notes</t>
  </si>
  <si>
    <t>Banco Inter</t>
  </si>
  <si>
    <t>Digital</t>
  </si>
  <si>
    <t>2026-07-13</t>
  </si>
  <si>
    <t>CONFIRMED</t>
  </si>
  <si>
    <t>Conta 662710-2 · R$18,922.07 disp + R$12.60 bloq</t>
  </si>
  <si>
    <t>Mercado Pago</t>
  </si>
  <si>
    <t>2026-07-12</t>
  </si>
  <si>
    <t>Extrato MP PDF 01-12/Jul/2026</t>
  </si>
  <si>
    <t>BB Brasil</t>
  </si>
  <si>
    <t>Checking</t>
  </si>
  <si>
    <t>Rende Fácil balance not in export</t>
  </si>
  <si>
    <t>TOTAL LIQUID</t>
  </si>
  <si>
    <t>◆ INVESTMENTS</t>
  </si>
  <si>
    <t>Instrument</t>
  </si>
  <si>
    <t>BRL Equiv</t>
  </si>
  <si>
    <t>USD Amount</t>
  </si>
  <si>
    <t>Period</t>
  </si>
  <si>
    <t>IB Net Deposits</t>
  </si>
  <si>
    <t>Brokerage</t>
  </si>
  <si>
    <t>Jan-Jun 2026</t>
  </si>
  <si>
    <t>DEPLOYED</t>
  </si>
  <si>
    <t>Auto: FX_OPS IB Deposit sum - IB Withdraw sum</t>
  </si>
  <si>
    <t>Fundos BRL — Topázio</t>
  </si>
  <si>
    <t>Fund</t>
  </si>
  <si>
    <t>May-Jun 2026</t>
  </si>
  <si>
    <t>Auto: FX_OPS Fund Deposit sum</t>
  </si>
  <si>
    <t>TOTAL INVESTMENTS</t>
  </si>
  <si>
    <t>EST. NET WORTH</t>
  </si>
  <si>
    <t>LEGEND</t>
  </si>
  <si>
    <t>🔵 Blue text = your input (edit these cells)</t>
  </si>
  <si>
    <t>⚫ Black text = formula (do not edit)</t>
  </si>
  <si>
    <t>🟢 Green text = cross-sheet formula (auto-calculated from FX_OPS)</t>
  </si>
  <si>
    <t>🟡 Yellow background = input cells</t>
  </si>
  <si>
    <t>◆ FX OPERATIONS — BCB Câmbio Register</t>
  </si>
  <si>
    <t>Append one row per BCB câmbio operation. Source: BCB Câmbio PDF.</t>
  </si>
  <si>
    <t>Date</t>
  </si>
  <si>
    <t>Destination</t>
  </si>
  <si>
    <t>CCY</t>
  </si>
  <si>
    <t>FCY Amount</t>
  </si>
  <si>
    <t>BRL Amount</t>
  </si>
  <si>
    <t>FX Rate</t>
  </si>
  <si>
    <t>Direction</t>
  </si>
  <si>
    <t>Nature</t>
  </si>
  <si>
    <t>2026-01-26</t>
  </si>
  <si>
    <t>Banco Topázio</t>
  </si>
  <si>
    <t>Interactive Brokers</t>
  </si>
  <si>
    <t>USD</t>
  </si>
  <si>
    <t>IB Deposit</t>
  </si>
  <si>
    <t>91992 IB deposit</t>
  </si>
  <si>
    <t>2026-01-27</t>
  </si>
  <si>
    <t>USA - Own Account</t>
  </si>
  <si>
    <t>Outbound</t>
  </si>
  <si>
    <t>67995 Self-transfer</t>
  </si>
  <si>
    <t>2026-01-30</t>
  </si>
  <si>
    <t>2026-02-09</t>
  </si>
  <si>
    <t>2026-02-11</t>
  </si>
  <si>
    <t>2026-03-03</t>
  </si>
  <si>
    <t>2026-03-13</t>
  </si>
  <si>
    <t>2026-03-18</t>
  </si>
  <si>
    <t>2026-04-22</t>
  </si>
  <si>
    <t>2026-04-30</t>
  </si>
  <si>
    <t>2026-05-07</t>
  </si>
  <si>
    <t>67995 via Inter</t>
  </si>
  <si>
    <t>2026-05-11</t>
  </si>
  <si>
    <t>2026-05-15</t>
  </si>
  <si>
    <t>Wise Brasil</t>
  </si>
  <si>
    <t>UK - Eduardo Giovannini</t>
  </si>
  <si>
    <t>67995 Wise UK</t>
  </si>
  <si>
    <t>2026-05-18</t>
  </si>
  <si>
    <t>91992 IB via Wise</t>
  </si>
  <si>
    <t>2026-05-19</t>
  </si>
  <si>
    <t>2026-05-20</t>
  </si>
  <si>
    <t>2026-05-22</t>
  </si>
  <si>
    <t>Fundos investimento BRL</t>
  </si>
  <si>
    <t>BRL</t>
  </si>
  <si>
    <t>Fund Deposit</t>
  </si>
  <si>
    <t>67043 Fund capital</t>
  </si>
  <si>
    <t>2026-05-26</t>
  </si>
  <si>
    <t>2026-05-28</t>
  </si>
  <si>
    <t>2026-06-05</t>
  </si>
  <si>
    <t>USA → Eduardo Forster Giovannini</t>
  </si>
  <si>
    <t>Inbound</t>
  </si>
  <si>
    <t>72629 Inbound from USA</t>
  </si>
  <si>
    <t>2026-06-16</t>
  </si>
  <si>
    <t>Ouribank</t>
  </si>
  <si>
    <t>Inbound payment order</t>
  </si>
  <si>
    <t>72629 Inbound payment order</t>
  </si>
  <si>
    <t>2026-06-19</t>
  </si>
  <si>
    <t>2026-06-22</t>
  </si>
  <si>
    <t>2026-06-26</t>
  </si>
  <si>
    <t>IB Withdraw</t>
  </si>
  <si>
    <t>91992 IB withdrawal</t>
  </si>
  <si>
    <t>◆ DIRECTION SUMMARY</t>
  </si>
  <si>
    <t>Count</t>
  </si>
  <si>
    <t>BRL Total</t>
  </si>
  <si>
    <t>FCY Total</t>
  </si>
  <si>
    <t>Avg Rate</t>
  </si>
  <si>
    <t>◆ TRANSACTIONS — MP Faturas Card Statement</t>
  </si>
  <si>
    <t>Paste new transactions when each fatura closes. 146 entries Jan-Jun 2026.</t>
  </si>
  <si>
    <t>#</t>
  </si>
  <si>
    <t>Fatura</t>
  </si>
  <si>
    <t>Merchant</t>
  </si>
  <si>
    <t>Value (BRL)</t>
  </si>
  <si>
    <t>Category</t>
  </si>
  <si>
    <t>International</t>
  </si>
  <si>
    <t>2026-01-06</t>
  </si>
  <si>
    <t>2026-02</t>
  </si>
  <si>
    <t>IFD*PIZZA NOW INTERMARES</t>
  </si>
  <si>
    <t>Delivery/iFood</t>
  </si>
  <si>
    <t>Não</t>
  </si>
  <si>
    <t>2026-01-08</t>
  </si>
  <si>
    <t>OPENAI *CHATGPT SUBSCR</t>
  </si>
  <si>
    <t>IA/Tecnologia</t>
  </si>
  <si>
    <t>Sim</t>
  </si>
  <si>
    <t>APPLE.COM/BILL</t>
  </si>
  <si>
    <t>Assinatura</t>
  </si>
  <si>
    <t>2026-01-10</t>
  </si>
  <si>
    <t>IFD*34531468 EDWIN LEI</t>
  </si>
  <si>
    <t>2026-01-14</t>
  </si>
  <si>
    <t>MANUS AI</t>
  </si>
  <si>
    <t>2026-01-15</t>
  </si>
  <si>
    <t>DL*Starlink Braz</t>
  </si>
  <si>
    <t>Internet</t>
  </si>
  <si>
    <t>2026-01-16</t>
  </si>
  <si>
    <t>MP*LOTERIASONLINEU1AQ</t>
  </si>
  <si>
    <t>Loteria</t>
  </si>
  <si>
    <t>IFD*FORMAGGIO RESTAURANTE</t>
  </si>
  <si>
    <t>2026-01-17</t>
  </si>
  <si>
    <t>MP*LOTERIASONLINE542V</t>
  </si>
  <si>
    <t>2026-01-19</t>
  </si>
  <si>
    <t>LEMSQZY* PINEAPPLE-APP</t>
  </si>
  <si>
    <t>2026-01-21</t>
  </si>
  <si>
    <t>CLAUDE.AI SUBSCRIPTION</t>
  </si>
  <si>
    <t>RAYCAST.COM</t>
  </si>
  <si>
    <t>Outros</t>
  </si>
  <si>
    <t>2026-01-28</t>
  </si>
  <si>
    <t>2026-02-03</t>
  </si>
  <si>
    <t>DESKTOP COMMANDER</t>
  </si>
  <si>
    <t>2026-02-04</t>
  </si>
  <si>
    <t>MP*LOTERIASONLINEM4UQ</t>
  </si>
  <si>
    <t>2026-02-05</t>
  </si>
  <si>
    <t>MP*LOTERIASONLINEYY48</t>
  </si>
  <si>
    <t>2026-03</t>
  </si>
  <si>
    <t>MERCADOLIVRE*3PRODUTOS</t>
  </si>
  <si>
    <t>Compras/ML</t>
  </si>
  <si>
    <t>2026-02-14</t>
  </si>
  <si>
    <t>ANTHROPIC</t>
  </si>
  <si>
    <t>MP*LOTERIASONLINEO4M4</t>
  </si>
  <si>
    <t>2026-02-16</t>
  </si>
  <si>
    <t>DL *Starlink Brazil</t>
  </si>
  <si>
    <t>2026-02-17</t>
  </si>
  <si>
    <t>2026-02-21</t>
  </si>
  <si>
    <t>2026-03-05</t>
  </si>
  <si>
    <t>2026-04</t>
  </si>
  <si>
    <t>2026-03-08</t>
  </si>
  <si>
    <t>MERCADOLIVRE*7PRODUTOS</t>
  </si>
  <si>
    <t>GITHUB, INC.</t>
  </si>
  <si>
    <t>2026-03-10</t>
  </si>
  <si>
    <t>LAN AIRLINE</t>
  </si>
  <si>
    <t>Viagem</t>
  </si>
  <si>
    <t>OPENROUTER, INC</t>
  </si>
  <si>
    <t>2026-03-14</t>
  </si>
  <si>
    <t>STARLINK INTERNET</t>
  </si>
  <si>
    <t>2026-03-17</t>
  </si>
  <si>
    <t>2026-03-21</t>
  </si>
  <si>
    <t>2026-03-30</t>
  </si>
  <si>
    <t>GROK XAI</t>
  </si>
  <si>
    <t>2026-04-01</t>
  </si>
  <si>
    <t>CURSOR AI POWERED IDE</t>
  </si>
  <si>
    <t>2026-04-05</t>
  </si>
  <si>
    <t>2026-05</t>
  </si>
  <si>
    <t>2026-04-17</t>
  </si>
  <si>
    <t>2026-04-20</t>
  </si>
  <si>
    <t>MICROSOFT*STORE</t>
  </si>
  <si>
    <t>2026-04-21</t>
  </si>
  <si>
    <t>2026-04-23</t>
  </si>
  <si>
    <t>CLOUDFLARE</t>
  </si>
  <si>
    <t>2026-04-27</t>
  </si>
  <si>
    <t>PERPLEXITY.AI</t>
  </si>
  <si>
    <t>2026-05-01</t>
  </si>
  <si>
    <t>2026-05-03</t>
  </si>
  <si>
    <t>2026-05-06</t>
  </si>
  <si>
    <t>2026-06</t>
  </si>
  <si>
    <t>2026-05-08</t>
  </si>
  <si>
    <t>2026-05-17</t>
  </si>
  <si>
    <t>DL*GOOGLE YouTub</t>
  </si>
  <si>
    <t>2026-05-30</t>
  </si>
  <si>
    <t>2026-06-01</t>
  </si>
  <si>
    <t>2026-06-03</t>
  </si>
  <si>
    <t>CONTA VIVO</t>
  </si>
  <si>
    <t>Telecomunicações</t>
  </si>
  <si>
    <t>2026-06-04</t>
  </si>
  <si>
    <t>◆ SUMMARY</t>
  </si>
  <si>
    <t>TOTAL</t>
  </si>
  <si>
    <t>TX COUNT</t>
  </si>
  <si>
    <t>⚠ This contains a representative 59-tx subset. Paste full 146-tx MP Faturas data to replace.</t>
  </si>
  <si>
    <t>◆ SUBSCRIPTIONS — 15 Services Tracked</t>
  </si>
  <si>
    <t>Update decisions and status. Renewal dates from Apple Subscriptions export.</t>
  </si>
  <si>
    <t>Service</t>
  </si>
  <si>
    <t>Plan</t>
  </si>
  <si>
    <t>Email</t>
  </si>
  <si>
    <t>Monthly BRL</t>
  </si>
  <si>
    <t>Dup Risk</t>
  </si>
  <si>
    <t>Decision</t>
  </si>
  <si>
    <t>Renewal Date</t>
  </si>
  <si>
    <t>Claude</t>
  </si>
  <si>
    <t>Pro</t>
  </si>
  <si>
    <t>automacao.giovannini@gmail.com</t>
  </si>
  <si>
    <t>AI - General/Coding</t>
  </si>
  <si>
    <t>HIGH</t>
  </si>
  <si>
    <t>CANCEL</t>
  </si>
  <si>
    <t>2026-07-15</t>
  </si>
  <si>
    <t>Pending</t>
  </si>
  <si>
    <t>cadastros.online1979@gmail.com</t>
  </si>
  <si>
    <t>ChatGPT</t>
  </si>
  <si>
    <t>Plus</t>
  </si>
  <si>
    <t>giovannini.eduardo@gmail.com</t>
  </si>
  <si>
    <t>AI - General Assistant</t>
  </si>
  <si>
    <t>MEDIUM</t>
  </si>
  <si>
    <t>KEEP</t>
  </si>
  <si>
    <t>Active</t>
  </si>
  <si>
    <t>Google</t>
  </si>
  <si>
    <t>AI - General/Workspace</t>
  </si>
  <si>
    <t>REVIEW</t>
  </si>
  <si>
    <t>Manus</t>
  </si>
  <si>
    <t>Credits</t>
  </si>
  <si>
    <t>cadastro.giovannini@gmail.com</t>
  </si>
  <si>
    <t>UNK</t>
  </si>
  <si>
    <t>AI - Agent/Credits</t>
  </si>
  <si>
    <t>UNKNOWN</t>
  </si>
  <si>
    <t>Unknown</t>
  </si>
  <si>
    <t>Cursor</t>
  </si>
  <si>
    <t>AI - Coding Assistant</t>
  </si>
  <si>
    <t>Desktop Commander</t>
  </si>
  <si>
    <t>Unlimited</t>
  </si>
  <si>
    <t>AI - Desktop Automation</t>
  </si>
  <si>
    <t>Filmora9</t>
  </si>
  <si>
    <t>Annual</t>
  </si>
  <si>
    <t>Creative/Productivity</t>
  </si>
  <si>
    <t>LOW</t>
  </si>
  <si>
    <t>2026-07-08</t>
  </si>
  <si>
    <t>Grok</t>
  </si>
  <si>
    <t>SuperGrok</t>
  </si>
  <si>
    <t>AI - General/Media</t>
  </si>
  <si>
    <t>2026-09-14</t>
  </si>
  <si>
    <t>iCloud+</t>
  </si>
  <si>
    <t>200 GB</t>
  </si>
  <si>
    <t>Cloud/Storage</t>
  </si>
  <si>
    <t>2026-07-10</t>
  </si>
  <si>
    <t>Microsoft 365</t>
  </si>
  <si>
    <t>Personal</t>
  </si>
  <si>
    <t>Productivity/Cloud</t>
  </si>
  <si>
    <t>2027-06-20</t>
  </si>
  <si>
    <t>NordVPN</t>
  </si>
  <si>
    <t>Security/VPN</t>
  </si>
  <si>
    <t>2026-10-06</t>
  </si>
  <si>
    <t>Perplexity</t>
  </si>
  <si>
    <t>Pro Mac</t>
  </si>
  <si>
    <t>AI - Research</t>
  </si>
  <si>
    <t>2026-06-30</t>
  </si>
  <si>
    <t>TuneIn Radio</t>
  </si>
  <si>
    <t>Premium</t>
  </si>
  <si>
    <t>Entertainment</t>
  </si>
  <si>
    <t>2026-07-23</t>
  </si>
  <si>
    <t>◆ DECISION SUMMARY</t>
  </si>
  <si>
    <t>KEEP total/mo</t>
  </si>
  <si>
    <t>CANCEL savings/mo</t>
  </si>
  <si>
    <t>REVIEW total/mo</t>
  </si>
  <si>
    <t>CANCEL savings/yr</t>
  </si>
  <si>
    <t>TOTAL STACK/mo</t>
  </si>
  <si>
    <t>◆ PIX — Banco Inter Cash Bridge · Account 6627102</t>
  </si>
  <si>
    <t>Paste from Inter extrato. PIX + Câmbio + IOF movements.</t>
  </si>
  <si>
    <t>Counterpart</t>
  </si>
  <si>
    <t>PIX Amount</t>
  </si>
  <si>
    <t>FX Amount</t>
  </si>
  <si>
    <t>IOF Amount</t>
  </si>
  <si>
    <t>2026-06-28</t>
  </si>
  <si>
    <t>PIX In</t>
  </si>
  <si>
    <t>Eduardo Forster Giovannini</t>
  </si>
  <si>
    <t>Eduardo F Giovannini</t>
  </si>
  <si>
    <t>2026-06-25</t>
  </si>
  <si>
    <t>PIX Out</t>
  </si>
  <si>
    <t>Eduardo Silva Dos Santos</t>
  </si>
  <si>
    <t>2026-05-25</t>
  </si>
  <si>
    <t>2026-05-24</t>
  </si>
  <si>
    <t>Moacir Jose De Morais Filho</t>
  </si>
  <si>
    <t>Lucas Rique Chaves Bezerra</t>
  </si>
  <si>
    <t>Sbct Tech Solutions Llc</t>
  </si>
  <si>
    <t>Eduardo Giovannini</t>
  </si>
  <si>
    <t>Wise Brasil Corretora De Cambio Ltda</t>
  </si>
  <si>
    <t>Câmbio</t>
  </si>
  <si>
    <t>Envio - remessa internacional</t>
  </si>
  <si>
    <t>IOF</t>
  </si>
  <si>
    <t>IOF - Operação de câmbio</t>
  </si>
  <si>
    <t>2026-04-28</t>
  </si>
  <si>
    <t>Gloria Raquel M C Nobrega</t>
  </si>
  <si>
    <t>Mag Administracao De Negocios Ltda</t>
  </si>
  <si>
    <t>2026-04-24</t>
  </si>
  <si>
    <t>Jose Periclis De Sousa Da Costa</t>
  </si>
  <si>
    <t>2026-03-20</t>
  </si>
  <si>
    <t>Iago Kevyn Santos Moura</t>
  </si>
  <si>
    <t>2026-03-15</t>
  </si>
  <si>
    <t>Mercado Pago Instituicao De Pagamento Ltda</t>
  </si>
  <si>
    <t>Net PIX Flow</t>
  </si>
  <si>
    <t>Total Câmbio Out</t>
  </si>
  <si>
    <t>Total IOF Paid</t>
  </si>
  <si>
    <t>◆ REPOS — Git Repository Health · ~/Documents/GitHub</t>
  </si>
  <si>
    <t>Update via rescan-repos.zsh output. Currently 2 repos on iMac M3.</t>
  </si>
  <si>
    <t>Name</t>
  </si>
  <si>
    <t>Branch</t>
  </si>
  <si>
    <t>Dirty Files</t>
  </si>
  <si>
    <t>Last Commit</t>
  </si>
  <si>
    <t>Days Since</t>
  </si>
  <si>
    <t>Remote</t>
  </si>
  <si>
    <t>Language</t>
  </si>
  <si>
    <t>Risk Score</t>
  </si>
  <si>
    <t>financas-2026</t>
  </si>
  <si>
    <t>dirty</t>
  </si>
  <si>
    <t>main</t>
  </si>
  <si>
    <t>2026-07-14</t>
  </si>
  <si>
    <t>github.com/AUTOGIO/financas-2026</t>
  </si>
  <si>
    <t>Python</t>
  </si>
  <si>
    <t>Primary finance workspace · command-center source</t>
  </si>
  <si>
    <t>MacHealthOS</t>
  </si>
  <si>
    <t>github.com/AUTOGIO/MacHealthOS</t>
  </si>
  <si>
    <t>Swift</t>
  </si>
  <si>
    <t>Mac system health monitoring</t>
  </si>
  <si>
    <t>◆ STATUS SUMMARY</t>
  </si>
  <si>
    <t>Total Repos</t>
  </si>
  <si>
    <t>Clean</t>
  </si>
  <si>
    <t>Dirty</t>
  </si>
  <si>
    <t>Broken</t>
  </si>
  <si>
    <t>Add more repos as you clone them to the iMac. Run rescan-repos.zsh to auto-populate.</t>
  </si>
  <si>
    <t>◆ PROJECTS — Operational Status Board</t>
  </si>
  <si>
    <t>Manual update. One row per active project. This is NOT automated — it is your 2-min status board.</t>
  </si>
  <si>
    <t>Project</t>
  </si>
  <si>
    <t>Current Focus</t>
  </si>
  <si>
    <t>Blocker</t>
  </si>
  <si>
    <t>Next Action</t>
  </si>
  <si>
    <t>Last Touched</t>
  </si>
  <si>
    <t>Priority</t>
  </si>
  <si>
    <t>Command Center build</t>
  </si>
  <si>
    <t>None</t>
  </si>
  <si>
    <t>Complete xlsx + html</t>
  </si>
  <si>
    <t>iMac M3 setup from zero</t>
  </si>
  <si>
    <t>Continue system configuration</t>
  </si>
  <si>
    <t>Global Retirement ETF</t>
  </si>
  <si>
    <t>Paused</t>
  </si>
  <si>
    <t>Portfolio architecture</t>
  </si>
  <si>
    <t>Waiting for iMac setup</t>
  </si>
  <si>
    <t>Clone repo to iMac when ready</t>
  </si>
  <si>
    <t>IBKR-Excel-Bridge</t>
  </si>
  <si>
    <t>IB → Excel snapshots</t>
  </si>
  <si>
    <t>Needs TWS on iMac</t>
  </si>
  <si>
    <t>Install TWS, clone repo</t>
  </si>
  <si>
    <t>PersonalLifeOS</t>
  </si>
  <si>
    <t>SwiftUI habits/schedule</t>
  </si>
  <si>
    <t>Needs clean Xcode build</t>
  </si>
  <si>
    <t>Verify build on MBA, then clone</t>
  </si>
  <si>
    <t>AUTOGIO_PIOS</t>
  </si>
  <si>
    <t>UniFi/Starlink health</t>
  </si>
  <si>
    <t>WAN stability gate reset</t>
  </si>
  <si>
    <t>Re-run WAN gate when on iMac</t>
  </si>
  <si>
    <t>◆ COUNTS</t>
  </si>
  <si>
    <t>Blocked</t>
  </si>
  <si>
    <t>◆ CONFIG — Alert Thresholds &amp; Parameters</t>
  </si>
  <si>
    <t>Edit values to change what triggers alerts in the Command Center.</t>
  </si>
  <si>
    <t>Parameter</t>
  </si>
  <si>
    <t>Value</t>
  </si>
  <si>
    <t>Unit</t>
  </si>
  <si>
    <t>Liquidity Floor</t>
  </si>
  <si>
    <t>Alert if TOTAL LIQUID &lt; this value</t>
  </si>
  <si>
    <t>Monthly Burn Cap</t>
  </si>
  <si>
    <t>Alert if card spend in any month exceeds this</t>
  </si>
  <si>
    <t>Subscription Stack Cap</t>
  </si>
  <si>
    <t>BRL/mo</t>
  </si>
  <si>
    <t>Alert if total KEEP subscriptions &gt; this</t>
  </si>
  <si>
    <t>Repo Staleness Days</t>
  </si>
  <si>
    <t>days</t>
  </si>
  <si>
    <t>Risk score +5 if repo has no commit in this many days</t>
  </si>
  <si>
    <t>FX Rate Low Alert</t>
  </si>
  <si>
    <t>BRL/USD</t>
  </si>
  <si>
    <t>Alert if any FX op below this rate</t>
  </si>
  <si>
    <t>FX Rate High Alert</t>
  </si>
  <si>
    <t>Alert if any FX op above this rate</t>
  </si>
  <si>
    <t>Cancel Savings Target</t>
  </si>
  <si>
    <t>Expected monthly savings from CANCEL queue</t>
  </si>
  <si>
    <t>Renewal Warning Days</t>
  </si>
  <si>
    <t>Alert when a subscription renewal is within this many days</t>
  </si>
  <si>
    <t>Project Stale Days</t>
  </si>
  <si>
    <t>Alert if active project not touched in this many days</t>
  </si>
  <si>
    <t>Net Worth Currency</t>
  </si>
  <si>
    <t>All amounts denominated in BRL unless marked USD</t>
  </si>
  <si>
    <t>Report Period</t>
  </si>
  <si>
    <t>H1 2026</t>
  </si>
  <si>
    <t>Owner</t>
  </si>
  <si>
    <t>CPF redacted</t>
  </si>
  <si>
    <t>◆ MONTHLY — Cash Flow Summary · Jan–Jun 2026</t>
  </si>
  <si>
    <t>One row per month. Card from TRANSACTIONS, PIX from PIX tab, FX from FX_OPS. Update when new month closes.</t>
  </si>
  <si>
    <t>Month</t>
  </si>
  <si>
    <t>Card Spend</t>
  </si>
  <si>
    <t>Txs</t>
  </si>
  <si>
    <t>FX Out</t>
  </si>
  <si>
    <t>FX In</t>
  </si>
  <si>
    <t>Net Flow</t>
  </si>
  <si>
    <t>2026-01</t>
  </si>
  <si>
    <t>TOTAL H1 2026</t>
  </si>
  <si>
    <t>AVG/MONTH</t>
  </si>
  <si>
    <t>◆ MoM CHANGES — Card Spend</t>
  </si>
  <si>
    <t>Spend</t>
  </si>
  <si>
    <t>Prior Month</t>
  </si>
  <si>
    <t>MoM %</t>
  </si>
  <si>
    <t>◆ CATEGORIES — Card Spend Breakdown · H1 2026</t>
  </si>
  <si>
    <t>Sorted largest to smallest. Update when full transaction data changes.</t>
  </si>
  <si>
    <t>Total (R$)</t>
  </si>
  <si>
    <t>% of Card</t>
  </si>
  <si>
    <t>Avg/Month</t>
  </si>
  <si>
    <t>Classification</t>
  </si>
  <si>
    <t>💡 Discretionary</t>
  </si>
  <si>
    <t>⚠ Review</t>
  </si>
  <si>
    <t>❓ Unknown</t>
  </si>
  <si>
    <t>✅ Essential</t>
  </si>
  <si>
    <t>Transporte</t>
  </si>
  <si>
    <t>◆ BY CLASSIFICATION</t>
  </si>
  <si>
    <t>◆ ALERTS — Risk &amp; Action Register · Cross-Domain</t>
  </si>
  <si>
    <t>Full alert register. Sources: finance, subscriptions, repos, projects. Update status as resolved.</t>
  </si>
  <si>
    <t>Severity</t>
  </si>
  <si>
    <t>Domain</t>
  </si>
  <si>
    <t>Finding</t>
  </si>
  <si>
    <t>BRL Exposure</t>
  </si>
  <si>
    <t>Recommended Action</t>
  </si>
  <si>
    <t>CRITICAL</t>
  </si>
  <si>
    <t>Subscriptions</t>
  </si>
  <si>
    <t>CANCEL queue: Claude x2 (R$184/mo) + Grok (R$149.90/mo) + TuneIn (R$31.90/mo) = R$365.80/mo</t>
  </si>
  <si>
    <t>Cancel all 4 before next billing. Apple Subscriptions + app accounts.</t>
  </si>
  <si>
    <t>FX Reconciliation</t>
  </si>
  <si>
    <t>R$652,789 sent to USA Own Account (67995). 19 ops Jan-Jun. Validate USD balances vs BCB.</t>
  </si>
  <si>
    <t>Pull USD account statement. Reconcile each BCB op against balance.</t>
  </si>
  <si>
    <t>Sub Stack Bloat</t>
  </si>
  <si>
    <t>6 services in REVIEW. Annual exposure ~R$7,763. Manus credits uncontrolled.</t>
  </si>
  <si>
    <t>Audit each REVIEW service. Decide KEEP/CANCEL. Target: eliminate ≥3.</t>
  </si>
  <si>
    <t>Liquidity</t>
  </si>
  <si>
    <t>100% liquid in 2 digital banks (Inter + MP = R$23,197). BB balance R$0. Below R$30k target.</t>
  </si>
  <si>
    <t>Maintain R$30k+ buffer. Distribute across BB Rende Fácil + Inter.</t>
  </si>
  <si>
    <t>IOF + FX Cost</t>
  </si>
  <si>
    <t>R$3,475 IOF paid on Inter FX. Compare rates across Wise / Topázio / BB.</t>
  </si>
  <si>
    <t>Review IOF rate per op. Compare institutions for next transfers.</t>
  </si>
  <si>
    <t>IB Withdrawal</t>
  </si>
  <si>
    <t>R$19,196 IB withdrawal via Wise Jun/2026. Destination unconfirmed.</t>
  </si>
  <si>
    <t>Confirm destination. Check Inter + IB statements.</t>
  </si>
  <si>
    <t>Lottery/Gambling</t>
  </si>
  <si>
    <t>R$6,455 Loteria on MP card (39 txs). No budget cap. Avg R$1,076/mo.</t>
  </si>
  <si>
    <t>Set monthly Loteria limit R$500. Remove card if exceeded.</t>
  </si>
  <si>
    <t>AI/Tech Overlap</t>
  </si>
  <si>
    <t>R$6,624 via card on IA/Tech (37 txs). Likely duplicates subscription stack.</t>
  </si>
  <si>
    <t>Cross-match card IA charges vs sub list. Consolidate billing method.</t>
  </si>
  <si>
    <t>Travel/Viagem</t>
  </si>
  <si>
    <t>R$9,037 travel charges (LAN Airlines Mar/2026). Business vs personal unclassified.</t>
  </si>
  <si>
    <t>Classify: business vs personal. Flag deductible items.</t>
  </si>
  <si>
    <t>ML Volume</t>
  </si>
  <si>
    <t>R$31,570 Mercado Livre purchases. Strong Home Office + CPAP pattern. No tags.</t>
  </si>
  <si>
    <t>Tag each purchase: CAPEX / HEALTH / CONSUMABLE for tax tracking.</t>
  </si>
  <si>
    <t>Multiple Wise ops (IB deposits + UK transfers). Ensure BACEN reporting.</t>
  </si>
  <si>
    <t>Confirm BACEN reporting compliance. Keep KYC current.</t>
  </si>
  <si>
    <t>Monitor</t>
  </si>
  <si>
    <t>SBCT Tech Solutions</t>
  </si>
  <si>
    <t>R$45,000 PIX Out to SBCT Tech Solutions LLC (USA) via Inter May/2026.</t>
  </si>
  <si>
    <t>Confirm nature: service invoice? investment? Ensure documentation.</t>
  </si>
  <si>
    <t>Total</t>
  </si>
  <si>
    <t>EG FINANCIAL TERMINAL  &lt;GO&gt;</t>
  </si>
  <si>
    <t>Personal finance command workspace | H1 2026 | Owner: Eduardo Forster Giovannini</t>
  </si>
  <si>
    <t>COMMAND: type a sheet code below, then review the indicated monitor. Values update from the operating tabs.</t>
  </si>
  <si>
    <t>NW &lt;GO&gt;</t>
  </si>
  <si>
    <t>LIQ &lt;GO&gt;</t>
  </si>
  <si>
    <t>SUBS &lt;GO&gt;</t>
  </si>
  <si>
    <t>ALRT &lt;GO&gt;</t>
  </si>
  <si>
    <t>FLOW &lt;GO&gt;</t>
  </si>
  <si>
    <t>EST. NET WORTH | BRL</t>
  </si>
  <si>
    <t>TOTAL LIQUID | BRL</t>
  </si>
  <si>
    <t>OPEN CRITICAL ALERTS</t>
  </si>
  <si>
    <t>H1 NET FLOW | BRL</t>
  </si>
  <si>
    <t>FUNCTION DIRECTORY</t>
  </si>
  <si>
    <t>RISK MONITOR</t>
  </si>
  <si>
    <t>Command</t>
  </si>
  <si>
    <t>Sheet</t>
  </si>
  <si>
    <t>Purpose</t>
  </si>
  <si>
    <t>Primary Signal</t>
  </si>
  <si>
    <t>Update Cycle</t>
  </si>
  <si>
    <t>Action</t>
  </si>
  <si>
    <t>BALANCES</t>
  </si>
  <si>
    <t>Liquidity, investments, net worth</t>
  </si>
  <si>
    <t>R$377k net worth</t>
  </si>
  <si>
    <t>Weekly</t>
  </si>
  <si>
    <t>Reconcile balances</t>
  </si>
  <si>
    <t>FX &lt;GO&gt;</t>
  </si>
  <si>
    <t>FX_OPS</t>
  </si>
  <si>
    <t>BCB foreign-exchange register</t>
  </si>
  <si>
    <t>R$653k FX out</t>
  </si>
  <si>
    <t>Per operation</t>
  </si>
  <si>
    <t>Match statements</t>
  </si>
  <si>
    <t>CARD &lt;GO&gt;</t>
  </si>
  <si>
    <t>TRANSACTIONS</t>
  </si>
  <si>
    <t>Card transaction ledger</t>
  </si>
  <si>
    <t>146 H1 entries</t>
  </si>
  <si>
    <t>Monthly</t>
  </si>
  <si>
    <t>Import full statement</t>
  </si>
  <si>
    <t>SUBSCRIPTIONS</t>
  </si>
  <si>
    <t>Subscription decisions</t>
  </si>
  <si>
    <t>R$365.80/mo cancel</t>
  </si>
  <si>
    <t>At renewal</t>
  </si>
  <si>
    <t>Execute cancellations</t>
  </si>
  <si>
    <t>PIX &lt;GO&gt;</t>
  </si>
  <si>
    <t>PIX</t>
  </si>
  <si>
    <t>Inter cash bridge</t>
  </si>
  <si>
    <t>R$144.8k net PIX</t>
  </si>
  <si>
    <t>Validate counterparties</t>
  </si>
  <si>
    <t>CODE &lt;GO&gt;</t>
  </si>
  <si>
    <t>REPOS</t>
  </si>
  <si>
    <t>Repository health</t>
  </si>
  <si>
    <t>2 dirty repos</t>
  </si>
  <si>
    <t>Commit or clean</t>
  </si>
  <si>
    <t>PROJ &lt;GO&gt;</t>
  </si>
  <si>
    <t>PROJECTS</t>
  </si>
  <si>
    <t>Operational status board</t>
  </si>
  <si>
    <t>2 active / 4 paused</t>
  </si>
  <si>
    <t>Advance next action</t>
  </si>
  <si>
    <t>CFG &lt;GO&gt;</t>
  </si>
  <si>
    <t>CONFIG</t>
  </si>
  <si>
    <t>Thresholds and parameters</t>
  </si>
  <si>
    <t>User-controlled limits</t>
  </si>
  <si>
    <t>As needed</t>
  </si>
  <si>
    <t>Tune alerts</t>
  </si>
  <si>
    <t>MONTHLY</t>
  </si>
  <si>
    <t>Monthly cash-flow monitor</t>
  </si>
  <si>
    <t>-R$75.9k H1</t>
  </si>
  <si>
    <t>Review spikes</t>
  </si>
  <si>
    <t>RISK &lt;GO&gt;</t>
  </si>
  <si>
    <t>ALERTS</t>
  </si>
  <si>
    <t>Cross-domain action register</t>
  </si>
  <si>
    <t>3 critical pending</t>
  </si>
  <si>
    <t>Daily</t>
  </si>
  <si>
    <t>Resolve by severity</t>
  </si>
  <si>
    <t>Exposure / Signal</t>
  </si>
  <si>
    <t>Required Action</t>
  </si>
  <si>
    <t>Control</t>
  </si>
  <si>
    <t>R$664.9k+</t>
  </si>
  <si>
    <t>Immediate reconciliation / cancel</t>
  </si>
  <si>
    <t>&lt;CANCEL&gt; risk</t>
  </si>
  <si>
    <t>Liquidity + IOF + gambling</t>
  </si>
  <si>
    <t>Review this week</t>
  </si>
  <si>
    <t>&lt;MENU&gt; actions</t>
  </si>
  <si>
    <t>AI overlap + classification</t>
  </si>
  <si>
    <t>Resolve this month</t>
  </si>
  <si>
    <t>&lt;HELP&gt; context</t>
  </si>
  <si>
    <t>Compliance / documentation</t>
  </si>
  <si>
    <t>&lt;END/BACK&gt;</t>
  </si>
  <si>
    <t>KEYBOARD COLOR LANGUAGE</t>
  </si>
  <si>
    <t>YELLOW</t>
  </si>
  <si>
    <t>Market / domain context</t>
  </si>
  <si>
    <t>SUBS, FX, FLOW</t>
  </si>
  <si>
    <t>Choose the analytical domain</t>
  </si>
  <si>
    <t>GREEN</t>
  </si>
  <si>
    <t>Execute / confirmed</t>
  </si>
  <si>
    <t>KEEP, Active, Confirmed</t>
  </si>
  <si>
    <t>Proceed or accept</t>
  </si>
  <si>
    <t>RED</t>
  </si>
  <si>
    <t>Cancel / critical</t>
  </si>
  <si>
    <t>CANCEL, CRITICAL, negative</t>
  </si>
  <si>
    <t>Stop or remediate</t>
  </si>
  <si>
    <t>BLUE</t>
  </si>
  <si>
    <t>Panel / editable input</t>
  </si>
  <si>
    <t>CONFIG and input cells</t>
  </si>
  <si>
    <t>Switch or update</t>
  </si>
  <si>
    <t xml:space="preserve"> </t>
  </si>
  <si>
    <t>STORY IN BRIEF</t>
  </si>
  <si>
    <t>LAST 03 INFRASTRUCTURE CHANGES — INFERRED</t>
  </si>
  <si>
    <t>Current-state reconstruction; workbook change history was unavailable. BEFORE states are explicitly inferred.</t>
  </si>
  <si>
    <t>CHANGE REGISTER</t>
  </si>
  <si>
    <t>ID</t>
  </si>
  <si>
    <t>Infrastructure Area</t>
  </si>
  <si>
    <t>BEFORE (inferred)</t>
  </si>
  <si>
    <t>AFTER (current state)</t>
  </si>
  <si>
    <t>Workbook Evidence</t>
  </si>
  <si>
    <t>Command monitoring</t>
  </si>
  <si>
    <t>Operational monitors were reviewed separately across individual tabs.</t>
  </si>
  <si>
    <t>TERMINAL centralizes 10 function links and a cross-domain risk monitor in one command workspace.</t>
  </si>
  <si>
    <t>TERMINAL!A10:L21</t>
  </si>
  <si>
    <t>Inferred</t>
  </si>
  <si>
    <t>Repository status was checked manually without a consolidated health view.</t>
  </si>
  <si>
    <t>REPOS tracks 2 repositories; both are dirty, with risk scores of 27 and 30.</t>
  </si>
  <si>
    <t>REPOS!A4:J12</t>
  </si>
  <si>
    <t>Alert controls</t>
  </si>
  <si>
    <t>Thresholds and risks were handled as fixed or separate manual checks.</t>
  </si>
  <si>
    <t>CONFIG exposes 9 operational thresholds; ALERTS consolidates 12 findings, including 3 critical items.</t>
  </si>
  <si>
    <t>CONFIG!A4:D13; ALERTS!A4:G16</t>
  </si>
  <si>
    <t>EXAMPLE 01 — REPOSITORY HEALTH CONTROL</t>
  </si>
  <si>
    <t>Field</t>
  </si>
  <si>
    <t>Example</t>
  </si>
  <si>
    <t>BEFORE</t>
  </si>
  <si>
    <t>Manual repository inspection with no common risk score.</t>
  </si>
  <si>
    <t>AFTER</t>
  </si>
  <si>
    <t>Weekly REPOS monitor flags staleness and dirty files for action.</t>
  </si>
  <si>
    <t>Current result</t>
  </si>
  <si>
    <t>financas-2026: 2 dirty files, 57 days since commit, risk score 27 → Commit or clean.</t>
  </si>
  <si>
    <t>NOTE: These entries document the current architecture and are not audit-confirmed historical events.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</si>
</sst>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%"/>
    <numFmt numFmtId="166" formatCode="#,##0.00\ &quot;BRL&quot;"/>
    <numFmt numFmtId="167" formatCode="#,##0.00\ &quot;BRL&quot;;[Red]\-#,##0.00\ &quot;BRL&quot;"/>
  </numFmts>
  <fonts count="38" x14ac:knownFonts="1">
    <font>
      <sz val="11"/>
      <color theme="1"/>
      <name val="Calibri"/>
      <family val="2"/>
      <charset val="1"/>
    </font>
    <font>
      <b/>
      <sz val="12"/>
      <color rgb="FFFF6600"/>
      <name val="Arial"/>
      <family val="2"/>
    </font>
    <font>
      <sz val="9"/>
      <color rgb="FF888888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8"/>
      <color rgb="FF888888"/>
      <name val="Arial"/>
      <family val="2"/>
    </font>
    <font>
      <b/>
      <sz val="10"/>
      <color rgb="FFFF6600"/>
      <name val="Arial"/>
      <family val="2"/>
    </font>
    <font>
      <b/>
      <sz val="10"/>
      <name val="Arial"/>
      <family val="2"/>
    </font>
    <font>
      <sz val="11"/>
      <color rgb="FFF5F5F5"/>
      <name val="Calibri"/>
      <family val="2"/>
      <charset val="1"/>
    </font>
    <font>
      <sz val="11"/>
      <color rgb="FFF28C28"/>
      <name val="Calibri"/>
      <family val="2"/>
      <charset val="1"/>
    </font>
    <font>
      <b/>
      <sz val="11"/>
      <color rgb="FFF28C28"/>
      <name val="Calibri"/>
      <family val="2"/>
      <charset val="1"/>
    </font>
    <font>
      <b/>
      <sz val="20"/>
      <color rgb="FFF28C28"/>
      <name val="Calibri"/>
      <family val="2"/>
      <charset val="1"/>
    </font>
    <font>
      <b/>
      <sz val="11"/>
      <color rgb="FFF5F5F5"/>
      <name val="Calibri"/>
      <family val="2"/>
      <charset val="1"/>
    </font>
    <font>
      <sz val="11"/>
      <color rgb="FFB8B8B8"/>
      <name val="Calibri"/>
      <family val="2"/>
      <charset val="1"/>
    </font>
    <font>
      <sz val="11"/>
      <color rgb="FFFFD54F"/>
      <name val="Calibri"/>
      <family val="2"/>
      <charset val="1"/>
    </font>
    <font>
      <b/>
      <sz val="11"/>
      <color rgb="FFFFD54F"/>
      <name val="Calibri"/>
      <family val="2"/>
      <charset val="1"/>
    </font>
    <font>
      <sz val="11"/>
      <color rgb="FFFF6B6B"/>
      <name val="Calibri"/>
      <family val="2"/>
      <charset val="1"/>
    </font>
    <font>
      <b/>
      <sz val="11"/>
      <color rgb="FFFF6B6B"/>
      <name val="Calibri"/>
      <family val="2"/>
      <charset val="1"/>
    </font>
    <font>
      <sz val="11"/>
      <color rgb="FF66FF8B"/>
      <name val="Calibri"/>
      <family val="2"/>
      <charset val="1"/>
    </font>
    <font>
      <sz val="11"/>
      <color rgb="FF66B2FF"/>
      <name val="Calibri"/>
      <family val="2"/>
      <charset val="1"/>
    </font>
    <font>
      <b/>
      <sz val="11"/>
      <color rgb="FFF5F5F5"/>
      <name val="Arial"/>
      <family val="2"/>
    </font>
    <font>
      <sz val="10"/>
      <color rgb="FFF5F5F5"/>
      <name val="Arial"/>
      <family val="2"/>
    </font>
    <font>
      <i/>
      <sz val="8"/>
      <color rgb="FFF5F5F5"/>
      <name val="Arial"/>
      <family val="2"/>
    </font>
    <font>
      <b/>
      <sz val="10"/>
      <color rgb="FFF5F5F5"/>
      <name val="Arial"/>
      <family val="2"/>
    </font>
    <font>
      <b/>
      <sz val="12"/>
      <color rgb="FFF28C28"/>
      <name val="Arial"/>
      <family val="2"/>
    </font>
    <font>
      <sz val="9"/>
      <color rgb="FFF28C28"/>
      <name val="Arial"/>
      <family val="2"/>
    </font>
    <font>
      <b/>
      <sz val="10"/>
      <color rgb="FFF28C28"/>
      <name val="Arial"/>
      <family val="2"/>
    </font>
    <font>
      <b/>
      <sz val="11"/>
      <color rgb="FFF28C28"/>
      <name val="Arial"/>
      <family val="2"/>
    </font>
    <font>
      <b/>
      <i/>
      <sz val="8"/>
      <color rgb="FFF28C28"/>
      <name val="Arial"/>
      <family val="2"/>
    </font>
    <font>
      <sz val="10"/>
      <color rgb="FF66FF8B"/>
      <name val="Arial"/>
      <family val="2"/>
    </font>
    <font>
      <sz val="10"/>
      <color rgb="FF66B2FF"/>
      <name val="Arial"/>
      <family val="2"/>
    </font>
    <font>
      <b/>
      <sz val="11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i/>
      <sz val="10"/>
      <color rgb="FF5B6573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rgb="FF7F6000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FF0"/>
        <bgColor rgb="FFFFFFFF"/>
      </patternFill>
    </fill>
    <fill>
      <patternFill patternType="solid">
        <fgColor rgb="FFFFF3E0"/>
        <bgColor rgb="FFF5F5F5"/>
      </patternFill>
    </fill>
    <fill>
      <patternFill patternType="solid">
        <fgColor rgb="FFF5F5F5"/>
        <bgColor rgb="FFFFF3E0"/>
      </patternFill>
    </fill>
    <fill>
      <patternFill patternType="solid">
        <fgColor rgb="FF000000"/>
        <bgColor indexed="64"/>
      </patternFill>
    </fill>
    <fill>
      <patternFill patternType="solid">
        <fgColor rgb="FF121212"/>
        <bgColor indexed="64"/>
      </patternFill>
    </fill>
    <fill>
      <patternFill patternType="solid">
        <fgColor rgb="FF3A2400"/>
        <bgColor indexed="64"/>
      </patternFill>
    </fill>
    <fill>
      <patternFill patternType="solid">
        <fgColor rgb="FF171717"/>
        <bgColor indexed="64"/>
      </patternFill>
    </fill>
    <fill>
      <patternFill patternType="solid">
        <fgColor rgb="FF101010"/>
        <bgColor indexed="64"/>
      </patternFill>
    </fill>
    <fill>
      <patternFill patternType="solid">
        <fgColor rgb="FF102033"/>
        <bgColor indexed="64"/>
      </patternFill>
    </fill>
    <fill>
      <patternFill patternType="solid">
        <fgColor rgb="FF17243A"/>
        <bgColor indexed="64"/>
      </patternFill>
    </fill>
    <fill>
      <patternFill patternType="solid">
        <fgColor rgb="FF2878B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rgb="FFFF6600"/>
      </bottom>
      <diagonal/>
    </border>
    <border>
      <left/>
      <right/>
      <top style="thin">
        <color rgb="FF3A3A3A"/>
      </top>
      <bottom/>
      <diagonal/>
    </border>
    <border>
      <left/>
      <right/>
      <top style="thin">
        <color rgb="FF3A3A3A"/>
      </top>
      <bottom style="thin">
        <color rgb="FF3A3A3A"/>
      </bottom>
      <diagonal/>
    </border>
    <border>
      <left/>
      <right/>
      <top/>
      <bottom style="thin">
        <color rgb="FF3A3A3A"/>
      </bottom>
      <diagonal/>
    </border>
    <border>
      <left style="thin">
        <color rgb="FF3A3A3A"/>
      </left>
      <right/>
      <top style="thin">
        <color rgb="FF3A3A3A"/>
      </top>
      <bottom style="thin">
        <color rgb="FF3A3A3A"/>
      </bottom>
      <diagonal/>
    </border>
    <border>
      <left style="thin">
        <color rgb="FF3A3A3A"/>
      </left>
      <right/>
      <top style="thin">
        <color rgb="FF3A3A3A"/>
      </top>
      <bottom/>
      <diagonal/>
    </border>
    <border>
      <left style="thin">
        <color rgb="FF3A3A3A"/>
      </left>
      <right/>
      <top/>
      <bottom/>
      <diagonal/>
    </border>
    <border>
      <left style="thin">
        <color rgb="FF3A3A3A"/>
      </left>
      <right/>
      <top/>
      <bottom style="thin">
        <color rgb="FF3A3A3A"/>
      </bottom>
      <diagonal/>
    </border>
    <border>
      <left/>
      <right style="thin">
        <color rgb="FF3A3A3A"/>
      </right>
      <top style="thin">
        <color rgb="FF3A3A3A"/>
      </top>
      <bottom/>
      <diagonal/>
    </border>
    <border>
      <left/>
      <right style="thin">
        <color rgb="FF3A3A3A"/>
      </right>
      <top/>
      <bottom/>
      <diagonal/>
    </border>
    <border>
      <left/>
      <right style="thin">
        <color rgb="FF3A3A3A"/>
      </right>
      <top/>
      <bottom style="thin">
        <color rgb="FF3A3A3A"/>
      </bottom>
      <diagonal/>
    </border>
    <border>
      <left style="thin">
        <color rgb="FF3A3A3A"/>
      </left>
      <right/>
      <top style="thin">
        <color rgb="FF3A3A3A"/>
      </top>
      <bottom style="medium">
        <color rgb="FFF28C28"/>
      </bottom>
      <diagonal/>
    </border>
    <border>
      <left/>
      <right/>
      <top style="thin">
        <color rgb="FF3A3A3A"/>
      </top>
      <bottom style="medium">
        <color rgb="FFF28C28"/>
      </bottom>
      <diagonal/>
    </border>
    <border>
      <left/>
      <right style="thin">
        <color rgb="FF3A3A3A"/>
      </right>
      <top style="thin">
        <color rgb="FF3A3A3A"/>
      </top>
      <bottom style="medium">
        <color rgb="FFF28C28"/>
      </bottom>
      <diagonal/>
    </border>
    <border>
      <left style="thin">
        <color rgb="FF3A3A3A"/>
      </left>
      <right/>
      <top style="medium">
        <color rgb="FFF28C28"/>
      </top>
      <bottom style="thin">
        <color rgb="FF3A3A3A"/>
      </bottom>
      <diagonal/>
    </border>
    <border>
      <left/>
      <right/>
      <top style="medium">
        <color rgb="FFF28C28"/>
      </top>
      <bottom style="thin">
        <color rgb="FF3A3A3A"/>
      </bottom>
      <diagonal/>
    </border>
    <border>
      <left/>
      <right style="thin">
        <color rgb="FF3A3A3A"/>
      </right>
      <top style="medium">
        <color rgb="FFF28C28"/>
      </top>
      <bottom style="thin">
        <color rgb="FF3A3A3A"/>
      </bottom>
      <diagonal/>
    </border>
    <border>
      <left/>
      <right style="thin">
        <color rgb="FF3A3A3A"/>
      </right>
      <top style="thin">
        <color rgb="FF3A3A3A"/>
      </top>
      <bottom style="thin">
        <color rgb="FF3A3A3A"/>
      </bottom>
      <diagonal/>
    </border>
    <border>
      <left/>
      <right/>
      <top style="medium">
        <color rgb="FFF28C28"/>
      </top>
      <bottom/>
      <diagonal/>
    </border>
    <border>
      <left/>
      <right/>
      <top style="medium">
        <color rgb="FFF28C28"/>
      </top>
      <bottom style="medium">
        <color rgb="FFF28C28"/>
      </bottom>
      <diagonal/>
    </border>
    <border>
      <left/>
      <right/>
      <top/>
      <bottom style="medium">
        <color rgb="FFF28C28"/>
      </bottom>
      <diagonal/>
    </border>
    <border>
      <left style="thin">
        <color rgb="FFA6B4C2"/>
      </left>
      <right style="thin">
        <color rgb="FFA6B4C2"/>
      </right>
      <top style="thin">
        <color rgb="FFA6B4C2"/>
      </top>
      <bottom style="thin">
        <color rgb="FFA6B4C2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4" fontId="5" fillId="3" borderId="0" xfId="0" applyNumberFormat="1" applyFont="1" applyFill="1"/>
    <xf numFmtId="0" fontId="5" fillId="0" borderId="0" xfId="0" applyFont="1"/>
    <xf numFmtId="0" fontId="6" fillId="0" borderId="0" xfId="0" applyFont="1"/>
    <xf numFmtId="0" fontId="7" fillId="4" borderId="0" xfId="0" applyFont="1" applyFill="1"/>
    <xf numFmtId="4" fontId="7" fillId="4" borderId="0" xfId="0" applyNumberFormat="1" applyFont="1" applyFill="1"/>
    <xf numFmtId="0" fontId="7" fillId="0" borderId="0" xfId="0" applyFont="1"/>
    <xf numFmtId="0" fontId="3" fillId="2" borderId="0" xfId="0" applyFont="1" applyFill="1"/>
    <xf numFmtId="4" fontId="5" fillId="0" borderId="0" xfId="0" applyNumberFormat="1" applyFont="1"/>
    <xf numFmtId="0" fontId="5" fillId="5" borderId="0" xfId="0" applyFont="1" applyFill="1"/>
    <xf numFmtId="0" fontId="4" fillId="5" borderId="0" xfId="0" applyFont="1" applyFill="1"/>
    <xf numFmtId="4" fontId="5" fillId="5" borderId="0" xfId="0" applyNumberFormat="1" applyFont="1" applyFill="1"/>
    <xf numFmtId="0" fontId="6" fillId="5" borderId="0" xfId="0" applyFont="1" applyFill="1"/>
    <xf numFmtId="4" fontId="4" fillId="0" borderId="0" xfId="0" applyNumberFormat="1" applyFont="1"/>
    <xf numFmtId="40" fontId="5" fillId="0" borderId="0" xfId="0" applyNumberFormat="1" applyFont="1"/>
    <xf numFmtId="40" fontId="5" fillId="5" borderId="0" xfId="0" applyNumberFormat="1" applyFont="1" applyFill="1"/>
    <xf numFmtId="0" fontId="5" fillId="3" borderId="0" xfId="0" applyFont="1" applyFill="1"/>
    <xf numFmtId="0" fontId="8" fillId="0" borderId="0" xfId="0" applyFont="1"/>
    <xf numFmtId="0" fontId="0" fillId="5" borderId="0" xfId="0" applyFill="1"/>
    <xf numFmtId="0" fontId="8" fillId="4" borderId="0" xfId="0" applyFont="1" applyFill="1"/>
    <xf numFmtId="4" fontId="4" fillId="4" borderId="0" xfId="0" applyNumberFormat="1" applyFont="1" applyFill="1"/>
    <xf numFmtId="3" fontId="5" fillId="0" borderId="0" xfId="0" applyNumberFormat="1" applyFont="1"/>
    <xf numFmtId="3" fontId="4" fillId="0" borderId="0" xfId="0" applyNumberFormat="1" applyFont="1"/>
    <xf numFmtId="1" fontId="5" fillId="3" borderId="0" xfId="0" applyNumberFormat="1" applyFont="1" applyFill="1"/>
    <xf numFmtId="3" fontId="5" fillId="3" borderId="0" xfId="0" applyNumberFormat="1" applyFont="1" applyFill="1"/>
    <xf numFmtId="3" fontId="7" fillId="4" borderId="0" xfId="0" applyNumberFormat="1" applyFont="1" applyFill="1"/>
    <xf numFmtId="165" fontId="4" fillId="0" borderId="0" xfId="0" applyNumberFormat="1" applyFont="1"/>
    <xf numFmtId="165" fontId="4" fillId="5" borderId="0" xfId="0" applyNumberFormat="1" applyFont="1" applyFill="1"/>
    <xf numFmtId="4" fontId="4" fillId="5" borderId="0" xfId="0" applyNumberFormat="1" applyFont="1" applyFill="1"/>
    <xf numFmtId="0" fontId="3" fillId="0" borderId="0" xfId="0" applyFont="1"/>
    <xf numFmtId="0" fontId="0" fillId="6" borderId="0" xfId="0" applyFill="1"/>
    <xf numFmtId="0" fontId="9" fillId="6" borderId="0" xfId="0" applyFont="1" applyFill="1"/>
    <xf numFmtId="0" fontId="10" fillId="6" borderId="0" xfId="0" applyFont="1" applyFill="1"/>
    <xf numFmtId="0" fontId="11" fillId="8" borderId="0" xfId="0" applyFont="1" applyFill="1"/>
    <xf numFmtId="0" fontId="9" fillId="9" borderId="0" xfId="0" applyFont="1" applyFill="1"/>
    <xf numFmtId="0" fontId="11" fillId="9" borderId="2" xfId="0" applyFont="1" applyFill="1" applyBorder="1"/>
    <xf numFmtId="0" fontId="11" fillId="9" borderId="6" xfId="0" applyFont="1" applyFill="1" applyBorder="1"/>
    <xf numFmtId="0" fontId="11" fillId="9" borderId="9" xfId="0" applyFont="1" applyFill="1" applyBorder="1"/>
    <xf numFmtId="0" fontId="11" fillId="9" borderId="13" xfId="0" applyFont="1" applyFill="1" applyBorder="1"/>
    <xf numFmtId="0" fontId="11" fillId="9" borderId="14" xfId="0" applyFont="1" applyFill="1" applyBorder="1"/>
    <xf numFmtId="0" fontId="9" fillId="10" borderId="0" xfId="0" applyFont="1" applyFill="1"/>
    <xf numFmtId="0" fontId="9" fillId="10" borderId="10" xfId="0" applyFont="1" applyFill="1" applyBorder="1"/>
    <xf numFmtId="0" fontId="9" fillId="10" borderId="4" xfId="0" applyFont="1" applyFill="1" applyBorder="1"/>
    <xf numFmtId="0" fontId="9" fillId="10" borderId="11" xfId="0" applyFont="1" applyFill="1" applyBorder="1"/>
    <xf numFmtId="0" fontId="9" fillId="10" borderId="15" xfId="0" applyFont="1" applyFill="1" applyBorder="1"/>
    <xf numFmtId="0" fontId="9" fillId="10" borderId="16" xfId="0" applyFont="1" applyFill="1" applyBorder="1"/>
    <xf numFmtId="0" fontId="9" fillId="10" borderId="17" xfId="0" applyFont="1" applyFill="1" applyBorder="1"/>
    <xf numFmtId="0" fontId="9" fillId="10" borderId="5" xfId="0" applyFont="1" applyFill="1" applyBorder="1"/>
    <xf numFmtId="0" fontId="9" fillId="10" borderId="3" xfId="0" applyFont="1" applyFill="1" applyBorder="1"/>
    <xf numFmtId="0" fontId="9" fillId="10" borderId="18" xfId="0" applyFont="1" applyFill="1" applyBorder="1"/>
    <xf numFmtId="1" fontId="9" fillId="10" borderId="16" xfId="0" applyNumberFormat="1" applyFont="1" applyFill="1" applyBorder="1"/>
    <xf numFmtId="1" fontId="9" fillId="10" borderId="3" xfId="0" applyNumberFormat="1" applyFont="1" applyFill="1" applyBorder="1"/>
    <xf numFmtId="0" fontId="19" fillId="10" borderId="5" xfId="0" applyFont="1" applyFill="1" applyBorder="1"/>
    <xf numFmtId="0" fontId="15" fillId="10" borderId="5" xfId="0" applyFont="1" applyFill="1" applyBorder="1"/>
    <xf numFmtId="0" fontId="17" fillId="10" borderId="15" xfId="0" applyFont="1" applyFill="1" applyBorder="1"/>
    <xf numFmtId="0" fontId="19" fillId="6" borderId="15" xfId="0" applyFont="1" applyFill="1" applyBorder="1"/>
    <xf numFmtId="0" fontId="17" fillId="6" borderId="5" xfId="0" applyFont="1" applyFill="1" applyBorder="1"/>
    <xf numFmtId="0" fontId="20" fillId="6" borderId="5" xfId="0" applyFont="1" applyFill="1" applyBorder="1"/>
    <xf numFmtId="0" fontId="21" fillId="6" borderId="0" xfId="0" applyFont="1" applyFill="1" applyAlignment="1">
      <alignment horizontal="left" vertical="center"/>
    </xf>
    <xf numFmtId="0" fontId="22" fillId="6" borderId="0" xfId="0" applyFont="1" applyFill="1"/>
    <xf numFmtId="4" fontId="22" fillId="6" borderId="0" xfId="0" applyNumberFormat="1" applyFont="1" applyFill="1"/>
    <xf numFmtId="0" fontId="25" fillId="6" borderId="0" xfId="0" applyFont="1" applyFill="1"/>
    <xf numFmtId="0" fontId="11" fillId="6" borderId="0" xfId="0" applyFont="1" applyFill="1"/>
    <xf numFmtId="0" fontId="26" fillId="6" borderId="0" xfId="0" applyFont="1" applyFill="1"/>
    <xf numFmtId="0" fontId="24" fillId="10" borderId="19" xfId="0" applyFont="1" applyFill="1" applyBorder="1"/>
    <xf numFmtId="0" fontId="13" fillId="10" borderId="19" xfId="0" applyFont="1" applyFill="1" applyBorder="1"/>
    <xf numFmtId="4" fontId="24" fillId="10" borderId="19" xfId="0" applyNumberFormat="1" applyFont="1" applyFill="1" applyBorder="1"/>
    <xf numFmtId="0" fontId="24" fillId="10" borderId="20" xfId="0" applyFont="1" applyFill="1" applyBorder="1"/>
    <xf numFmtId="0" fontId="13" fillId="10" borderId="20" xfId="0" applyFont="1" applyFill="1" applyBorder="1"/>
    <xf numFmtId="4" fontId="24" fillId="10" borderId="20" xfId="0" applyNumberFormat="1" applyFont="1" applyFill="1" applyBorder="1"/>
    <xf numFmtId="0" fontId="27" fillId="8" borderId="0" xfId="0" applyFont="1" applyFill="1"/>
    <xf numFmtId="0" fontId="21" fillId="10" borderId="20" xfId="0" applyFont="1" applyFill="1" applyBorder="1"/>
    <xf numFmtId="4" fontId="21" fillId="10" borderId="20" xfId="0" applyNumberFormat="1" applyFont="1" applyFill="1" applyBorder="1"/>
    <xf numFmtId="0" fontId="28" fillId="9" borderId="2" xfId="0" applyFont="1" applyFill="1" applyBorder="1" applyAlignment="1">
      <alignment horizontal="left" vertical="center"/>
    </xf>
    <xf numFmtId="0" fontId="28" fillId="9" borderId="6" xfId="0" applyFont="1" applyFill="1" applyBorder="1" applyAlignment="1">
      <alignment horizontal="left" vertical="center"/>
    </xf>
    <xf numFmtId="0" fontId="28" fillId="9" borderId="9" xfId="0" applyFont="1" applyFill="1" applyBorder="1" applyAlignment="1">
      <alignment horizontal="left" vertical="center"/>
    </xf>
    <xf numFmtId="0" fontId="22" fillId="10" borderId="15" xfId="0" applyFont="1" applyFill="1" applyBorder="1"/>
    <xf numFmtId="0" fontId="22" fillId="10" borderId="16" xfId="0" applyFont="1" applyFill="1" applyBorder="1"/>
    <xf numFmtId="4" fontId="22" fillId="10" borderId="16" xfId="0" applyNumberFormat="1" applyFont="1" applyFill="1" applyBorder="1"/>
    <xf numFmtId="0" fontId="23" fillId="10" borderId="17" xfId="0" applyFont="1" applyFill="1" applyBorder="1"/>
    <xf numFmtId="0" fontId="22" fillId="10" borderId="5" xfId="0" applyFont="1" applyFill="1" applyBorder="1"/>
    <xf numFmtId="0" fontId="22" fillId="10" borderId="3" xfId="0" applyFont="1" applyFill="1" applyBorder="1"/>
    <xf numFmtId="4" fontId="22" fillId="10" borderId="3" xfId="0" applyNumberFormat="1" applyFont="1" applyFill="1" applyBorder="1"/>
    <xf numFmtId="0" fontId="23" fillId="10" borderId="18" xfId="0" applyFont="1" applyFill="1" applyBorder="1"/>
    <xf numFmtId="0" fontId="28" fillId="9" borderId="2" xfId="0" applyFont="1" applyFill="1" applyBorder="1"/>
    <xf numFmtId="0" fontId="24" fillId="10" borderId="21" xfId="0" applyFont="1" applyFill="1" applyBorder="1"/>
    <xf numFmtId="0" fontId="13" fillId="10" borderId="21" xfId="0" applyFont="1" applyFill="1" applyBorder="1"/>
    <xf numFmtId="4" fontId="24" fillId="10" borderId="21" xfId="0" applyNumberFormat="1" applyFont="1" applyFill="1" applyBorder="1"/>
    <xf numFmtId="0" fontId="28" fillId="9" borderId="6" xfId="0" applyFont="1" applyFill="1" applyBorder="1"/>
    <xf numFmtId="0" fontId="28" fillId="9" borderId="9" xfId="0" applyFont="1" applyFill="1" applyBorder="1"/>
    <xf numFmtId="0" fontId="29" fillId="9" borderId="12" xfId="0" applyFont="1" applyFill="1" applyBorder="1"/>
    <xf numFmtId="0" fontId="23" fillId="10" borderId="7" xfId="0" applyFont="1" applyFill="1" applyBorder="1"/>
    <xf numFmtId="0" fontId="23" fillId="10" borderId="8" xfId="0" applyFont="1" applyFill="1" applyBorder="1"/>
    <xf numFmtId="0" fontId="23" fillId="9" borderId="7" xfId="0" applyFont="1" applyFill="1" applyBorder="1"/>
    <xf numFmtId="0" fontId="9" fillId="9" borderId="10" xfId="0" applyFont="1" applyFill="1" applyBorder="1"/>
    <xf numFmtId="0" fontId="30" fillId="10" borderId="16" xfId="0" applyFont="1" applyFill="1" applyBorder="1"/>
    <xf numFmtId="0" fontId="30" fillId="10" borderId="3" xfId="0" applyFont="1" applyFill="1" applyBorder="1"/>
    <xf numFmtId="4" fontId="31" fillId="11" borderId="16" xfId="0" applyNumberFormat="1" applyFont="1" applyFill="1" applyBorder="1"/>
    <xf numFmtId="0" fontId="20" fillId="11" borderId="16" xfId="0" applyFont="1" applyFill="1" applyBorder="1"/>
    <xf numFmtId="4" fontId="31" fillId="11" borderId="3" xfId="0" applyNumberFormat="1" applyFont="1" applyFill="1" applyBorder="1"/>
    <xf numFmtId="0" fontId="20" fillId="11" borderId="3" xfId="0" applyFont="1" applyFill="1" applyBorder="1"/>
    <xf numFmtId="0" fontId="31" fillId="11" borderId="16" xfId="0" applyFont="1" applyFill="1" applyBorder="1"/>
    <xf numFmtId="0" fontId="31" fillId="11" borderId="3" xfId="0" applyFont="1" applyFill="1" applyBorder="1"/>
    <xf numFmtId="4" fontId="30" fillId="10" borderId="16" xfId="0" applyNumberFormat="1" applyFont="1" applyFill="1" applyBorder="1"/>
    <xf numFmtId="4" fontId="30" fillId="10" borderId="3" xfId="0" applyNumberFormat="1" applyFont="1" applyFill="1" applyBorder="1"/>
    <xf numFmtId="0" fontId="19" fillId="10" borderId="3" xfId="0" applyFont="1" applyFill="1" applyBorder="1"/>
    <xf numFmtId="164" fontId="22" fillId="10" borderId="16" xfId="0" applyNumberFormat="1" applyFont="1" applyFill="1" applyBorder="1"/>
    <xf numFmtId="164" fontId="22" fillId="10" borderId="3" xfId="0" applyNumberFormat="1" applyFont="1" applyFill="1" applyBorder="1"/>
    <xf numFmtId="0" fontId="24" fillId="10" borderId="5" xfId="0" applyFont="1" applyFill="1" applyBorder="1"/>
    <xf numFmtId="0" fontId="21" fillId="10" borderId="5" xfId="0" applyFont="1" applyFill="1" applyBorder="1"/>
    <xf numFmtId="0" fontId="21" fillId="10" borderId="3" xfId="0" applyFont="1" applyFill="1" applyBorder="1"/>
    <xf numFmtId="40" fontId="22" fillId="10" borderId="16" xfId="0" applyNumberFormat="1" applyFont="1" applyFill="1" applyBorder="1"/>
    <xf numFmtId="0" fontId="22" fillId="10" borderId="17" xfId="0" applyFont="1" applyFill="1" applyBorder="1"/>
    <xf numFmtId="40" fontId="22" fillId="10" borderId="3" xfId="0" applyNumberFormat="1" applyFont="1" applyFill="1" applyBorder="1"/>
    <xf numFmtId="0" fontId="22" fillId="10" borderId="18" xfId="0" applyFont="1" applyFill="1" applyBorder="1"/>
    <xf numFmtId="0" fontId="24" fillId="10" borderId="3" xfId="0" applyFont="1" applyFill="1" applyBorder="1"/>
    <xf numFmtId="4" fontId="24" fillId="10" borderId="3" xfId="0" applyNumberFormat="1" applyFont="1" applyFill="1" applyBorder="1"/>
    <xf numFmtId="0" fontId="23" fillId="10" borderId="5" xfId="0" applyFont="1" applyFill="1" applyBorder="1"/>
    <xf numFmtId="0" fontId="17" fillId="7" borderId="6" xfId="0" applyFont="1" applyFill="1" applyBorder="1"/>
    <xf numFmtId="0" fontId="17" fillId="7" borderId="9" xfId="0" applyFont="1" applyFill="1" applyBorder="1"/>
    <xf numFmtId="0" fontId="11" fillId="8" borderId="0" xfId="0" applyFont="1" applyFill="1"/>
    <xf numFmtId="0" fontId="11" fillId="9" borderId="12" xfId="0" applyFont="1" applyFill="1" applyBorder="1" applyAlignment="1">
      <alignment wrapText="1"/>
    </xf>
    <xf numFmtId="0" fontId="11" fillId="9" borderId="13" xfId="0" applyFont="1" applyFill="1" applyBorder="1" applyAlignment="1">
      <alignment wrapText="1"/>
    </xf>
    <xf numFmtId="0" fontId="11" fillId="9" borderId="14" xfId="0" applyFont="1" applyFill="1" applyBorder="1" applyAlignment="1">
      <alignment wrapText="1"/>
    </xf>
    <xf numFmtId="0" fontId="9" fillId="10" borderId="7" xfId="0" applyFont="1" applyFill="1" applyBorder="1" applyAlignment="1">
      <alignment wrapText="1"/>
    </xf>
    <xf numFmtId="0" fontId="9" fillId="10" borderId="0" xfId="0" applyFont="1" applyFill="1" applyAlignment="1">
      <alignment wrapText="1"/>
    </xf>
    <xf numFmtId="0" fontId="9" fillId="10" borderId="10" xfId="0" applyFont="1" applyFill="1" applyBorder="1" applyAlignment="1">
      <alignment wrapText="1"/>
    </xf>
    <xf numFmtId="0" fontId="9" fillId="9" borderId="7" xfId="0" applyFont="1" applyFill="1" applyBorder="1" applyAlignment="1">
      <alignment wrapText="1"/>
    </xf>
    <xf numFmtId="0" fontId="9" fillId="9" borderId="0" xfId="0" applyFont="1" applyFill="1" applyAlignment="1">
      <alignment wrapText="1"/>
    </xf>
    <xf numFmtId="0" fontId="9" fillId="9" borderId="10" xfId="0" applyFont="1" applyFill="1" applyBorder="1" applyAlignment="1">
      <alignment wrapText="1"/>
    </xf>
    <xf numFmtId="0" fontId="9" fillId="10" borderId="8" xfId="0" applyFont="1" applyFill="1" applyBorder="1" applyAlignment="1">
      <alignment wrapText="1"/>
    </xf>
    <xf numFmtId="0" fontId="9" fillId="10" borderId="4" xfId="0" applyFont="1" applyFill="1" applyBorder="1" applyAlignment="1">
      <alignment wrapText="1"/>
    </xf>
    <xf numFmtId="0" fontId="9" fillId="10" borderId="11" xfId="0" applyFont="1" applyFill="1" applyBorder="1" applyAlignment="1">
      <alignment wrapText="1"/>
    </xf>
    <xf numFmtId="0" fontId="14" fillId="7" borderId="8" xfId="0" applyFont="1" applyFill="1" applyBorder="1"/>
    <xf numFmtId="0" fontId="14" fillId="7" borderId="4" xfId="0" applyFont="1" applyFill="1" applyBorder="1"/>
    <xf numFmtId="0" fontId="14" fillId="7" borderId="11" xfId="0" applyFont="1" applyFill="1" applyBorder="1"/>
    <xf numFmtId="0" fontId="12" fillId="6" borderId="0" xfId="0" applyFont="1" applyFill="1"/>
    <xf numFmtId="0" fontId="10" fillId="6" borderId="0" xfId="0" applyFont="1" applyFill="1"/>
    <xf numFmtId="166" fontId="13" fillId="7" borderId="7" xfId="0" applyNumberFormat="1" applyFont="1" applyFill="1" applyBorder="1"/>
    <xf numFmtId="0" fontId="13" fillId="7" borderId="0" xfId="0" applyFont="1" applyFill="1"/>
    <xf numFmtId="0" fontId="13" fillId="7" borderId="7" xfId="0" applyFont="1" applyFill="1" applyBorder="1"/>
    <xf numFmtId="166" fontId="16" fillId="7" borderId="7" xfId="0" applyNumberFormat="1" applyFont="1" applyFill="1" applyBorder="1"/>
    <xf numFmtId="0" fontId="16" fillId="7" borderId="0" xfId="0" applyFont="1" applyFill="1"/>
    <xf numFmtId="0" fontId="16" fillId="7" borderId="10" xfId="0" applyFont="1" applyFill="1" applyBorder="1"/>
    <xf numFmtId="0" fontId="16" fillId="7" borderId="7" xfId="0" applyFont="1" applyFill="1" applyBorder="1"/>
    <xf numFmtId="1" fontId="18" fillId="7" borderId="7" xfId="0" applyNumberFormat="1" applyFont="1" applyFill="1" applyBorder="1"/>
    <xf numFmtId="0" fontId="18" fillId="7" borderId="0" xfId="0" applyFont="1" applyFill="1"/>
    <xf numFmtId="0" fontId="18" fillId="7" borderId="7" xfId="0" applyFont="1" applyFill="1" applyBorder="1"/>
    <xf numFmtId="167" fontId="18" fillId="7" borderId="7" xfId="0" applyNumberFormat="1" applyFont="1" applyFill="1" applyBorder="1"/>
    <xf numFmtId="0" fontId="18" fillId="7" borderId="10" xfId="0" applyFont="1" applyFill="1" applyBorder="1"/>
    <xf numFmtId="0" fontId="10" fillId="7" borderId="6" xfId="0" applyFont="1" applyFill="1" applyBorder="1"/>
    <xf numFmtId="0" fontId="10" fillId="7" borderId="2" xfId="0" applyFont="1" applyFill="1" applyBorder="1"/>
    <xf numFmtId="0" fontId="15" fillId="7" borderId="6" xfId="0" applyFont="1" applyFill="1" applyBorder="1"/>
    <xf numFmtId="0" fontId="15" fillId="7" borderId="2" xfId="0" applyFont="1" applyFill="1" applyBorder="1"/>
    <xf numFmtId="0" fontId="15" fillId="7" borderId="9" xfId="0" applyFont="1" applyFill="1" applyBorder="1"/>
    <xf numFmtId="0" fontId="17" fillId="7" borderId="2" xfId="0" applyFont="1" applyFill="1" applyBorder="1"/>
    <xf numFmtId="0" fontId="33" fillId="12" borderId="0" xfId="0" applyFont="1" applyFill="1" applyAlignment="1">
      <alignment vertical="center"/>
    </xf>
    <xf numFmtId="0" fontId="34" fillId="0" borderId="0" xfId="0" applyFont="1" applyAlignment="1">
      <alignment wrapText="1"/>
    </xf>
    <xf numFmtId="0" fontId="35" fillId="13" borderId="0" xfId="0" applyFont="1" applyFill="1"/>
    <xf numFmtId="0" fontId="32" fillId="14" borderId="0" xfId="0" applyFont="1" applyFill="1" applyAlignment="1">
      <alignment horizontal="center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32" fillId="14" borderId="22" xfId="0" applyFont="1" applyFill="1" applyBorder="1" applyAlignment="1">
      <alignment horizontal="center"/>
    </xf>
    <xf numFmtId="0" fontId="36" fillId="15" borderId="22" xfId="0" applyFont="1" applyFill="1" applyBorder="1"/>
    <xf numFmtId="0" fontId="0" fillId="0" borderId="22" xfId="0" applyBorder="1" applyAlignment="1">
      <alignment wrapText="1"/>
    </xf>
    <xf numFmtId="0" fontId="37" fillId="16" borderId="0" xfId="0" applyFont="1" applyFill="1" applyBorder="1" applyAlignment="1">
      <alignment wrapText="1"/>
    </xf>
  </cellXfs>
  <cellStyles count="1">
    <cellStyle name="Normal" xfId="0" builtinId="0"/>
  </cellStyles>
  <dxfs count="8">
    <dxf>
      <alignment vertical="top"/>
    </dxf>
    <dxf>
      <alignment horizontal="center" vertical="top"/>
    </dxf>
    <dxf>
      <alignment vertical="top" wrapText="1"/>
    </dxf>
    <dxf>
      <alignment vertical="top" wrapText="1"/>
    </dxf>
    <dxf>
      <alignment vertical="top" wrapText="1"/>
    </dxf>
    <dxf>
      <alignment vertical="top" wrapText="1"/>
    </dxf>
    <dxf>
      <alignment horizontal="center" vertical="top"/>
    </dxf>
    <dxf>
      <font>
        <b/>
        <color rgb="FFFFFFFF"/>
      </font>
      <fill>
        <patternFill patternType="solid">
          <fgColor indexed="64"/>
          <bgColor rgb="FF1F4E78"/>
        </patternFill>
      </fill>
      <alignment horizontal="center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3E0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FFF0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5F5F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CARD SPEND TREND | H1 2026</a:t>
            </a:r>
          </a:p>
        </c:rich>
      </c:tx>
      <c:overlay val="0"/>
      <c:spPr>
        <a:solidFill>
          <a:srgbClr val="000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5F5F5"/>
              </a:solidFill>
              <a:latin typeface="+mn-lt"/>
              <a:ea typeface="+mn-ea"/>
              <a:cs typeface="+mn-cs"/>
            </a:defRPr>
          </a:pPr>
          <a:endParaRPr lang="en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MONTHLY!$B$4</c:f>
              <c:strCache>
                <c:ptCount val="1"/>
                <c:pt idx="0">
                  <c:v>Card Spend</c:v>
                </c:pt>
              </c:strCache>
            </c:strRef>
          </c:tx>
          <c:spPr>
            <a:ln w="28575" cap="rnd">
              <a:solidFill>
                <a:srgbClr val="F28C28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28C28"/>
              </a:solidFill>
              <a:ln w="9525">
                <a:solidFill>
                  <a:srgbClr val="F28C28"/>
                </a:solidFill>
                <a:prstDash val="solid"/>
              </a:ln>
              <a:effectLst/>
            </c:spPr>
          </c:marker>
          <c:cat>
            <c:strRef>
              <c:f>MONTHLY!$A$5:$A$10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MONTHLY!$B$5:$B$10</c:f>
              <c:numCache>
                <c:formatCode>#,##0.00</c:formatCode>
                <c:ptCount val="6"/>
                <c:pt idx="0">
                  <c:v>3745.4</c:v>
                </c:pt>
                <c:pt idx="1">
                  <c:v>9515.9</c:v>
                </c:pt>
                <c:pt idx="2">
                  <c:v>14231.47</c:v>
                </c:pt>
                <c:pt idx="3">
                  <c:v>5330.44</c:v>
                </c:pt>
                <c:pt idx="4">
                  <c:v>3308.38</c:v>
                </c:pt>
                <c:pt idx="5">
                  <c:v>1114.17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F2-B74B-BAD8-3AD7C8F2A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46451904"/>
        <c:axId val="2146453696"/>
      </c:lineChart>
      <c:catAx>
        <c:axId val="214645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3A3A3A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B8B8B8"/>
                </a:solidFill>
                <a:latin typeface="+mn-lt"/>
                <a:ea typeface="+mn-ea"/>
                <a:cs typeface="+mn-cs"/>
              </a:defRPr>
            </a:pPr>
            <a:endParaRPr lang="en-BR"/>
          </a:p>
        </c:txPr>
        <c:crossAx val="2146453696"/>
        <c:crosses val="autoZero"/>
        <c:auto val="1"/>
        <c:lblAlgn val="ctr"/>
        <c:lblOffset val="100"/>
        <c:noMultiLvlLbl val="0"/>
      </c:catAx>
      <c:valAx>
        <c:axId val="214645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3A3A3A"/>
              </a:solidFill>
              <a:prstDash val="solid"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solidFill>
              <a:srgbClr val="3A3A3A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B8B8B8"/>
                </a:solidFill>
                <a:latin typeface="+mn-lt"/>
                <a:ea typeface="+mn-ea"/>
                <a:cs typeface="+mn-cs"/>
              </a:defRPr>
            </a:pPr>
            <a:endParaRPr lang="en-BR"/>
          </a:p>
        </c:txPr>
        <c:crossAx val="2146451904"/>
        <c:crosses val="autoZero"/>
        <c:crossBetween val="between"/>
      </c:valAx>
      <c:spPr>
        <a:solidFill>
          <a:srgbClr val="000000"/>
        </a:solidFill>
        <a:ln>
          <a:noFill/>
        </a:ln>
        <a:effectLst/>
      </c:spPr>
    </c:plotArea>
    <c:legend>
      <c:legendPos val="r"/>
      <c:overlay val="0"/>
      <c:spPr>
        <a:solidFill>
          <a:srgbClr val="000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B8B8B8"/>
              </a:solidFill>
              <a:latin typeface="+mn-lt"/>
              <a:ea typeface="+mn-ea"/>
              <a:cs typeface="+mn-cs"/>
            </a:defRPr>
          </a:pPr>
          <a:endParaRPr lang="en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000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5F5F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CARD CATEGORIES | H1 2026</a:t>
            </a:r>
          </a:p>
        </c:rich>
      </c:tx>
      <c:overlay val="0"/>
      <c:spPr>
        <a:solidFill>
          <a:srgbClr val="000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5F5F5"/>
              </a:solidFill>
              <a:latin typeface="+mn-lt"/>
              <a:ea typeface="+mn-ea"/>
              <a:cs typeface="+mn-cs"/>
            </a:defRPr>
          </a:pPr>
          <a:endParaRPr lang="en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CATEGORIES!$B$4</c:f>
              <c:strCache>
                <c:ptCount val="1"/>
                <c:pt idx="0">
                  <c:v>Total (R$)</c:v>
                </c:pt>
              </c:strCache>
            </c:strRef>
          </c:tx>
          <c:spPr>
            <a:solidFill>
              <a:srgbClr val="F28C28"/>
            </a:solidFill>
            <a:ln>
              <a:noFill/>
            </a:ln>
            <a:effectLst/>
          </c:spPr>
          <c:invertIfNegative val="0"/>
          <c:cat>
            <c:strRef>
              <c:f>CATEGORIES!$A$5:$A$12</c:f>
              <c:strCache>
                <c:ptCount val="8"/>
                <c:pt idx="0">
                  <c:v>Viagem</c:v>
                </c:pt>
                <c:pt idx="1">
                  <c:v>Compras/ML</c:v>
                </c:pt>
                <c:pt idx="2">
                  <c:v>IA/Tecnologia</c:v>
                </c:pt>
                <c:pt idx="3">
                  <c:v>Loteria</c:v>
                </c:pt>
                <c:pt idx="4">
                  <c:v>Outros</c:v>
                </c:pt>
                <c:pt idx="5">
                  <c:v>Internet</c:v>
                </c:pt>
                <c:pt idx="6">
                  <c:v>Assinatura</c:v>
                </c:pt>
                <c:pt idx="7">
                  <c:v>Delivery/iFood</c:v>
                </c:pt>
              </c:strCache>
            </c:strRef>
          </c:cat>
          <c:val>
            <c:numRef>
              <c:f>CATEGORIES!$B$5:$B$12</c:f>
              <c:numCache>
                <c:formatCode>#,##0.00</c:formatCode>
                <c:ptCount val="8"/>
                <c:pt idx="0">
                  <c:v>9036.83</c:v>
                </c:pt>
                <c:pt idx="1">
                  <c:v>8744.68</c:v>
                </c:pt>
                <c:pt idx="2">
                  <c:v>6624.36</c:v>
                </c:pt>
                <c:pt idx="3">
                  <c:v>6455.1</c:v>
                </c:pt>
                <c:pt idx="4">
                  <c:v>2235.58</c:v>
                </c:pt>
                <c:pt idx="5">
                  <c:v>1413.12</c:v>
                </c:pt>
                <c:pt idx="6">
                  <c:v>1227.5</c:v>
                </c:pt>
                <c:pt idx="7">
                  <c:v>1217.92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48-9740-ACEE-AF3C3A351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46818176"/>
        <c:axId val="2146815040"/>
      </c:barChart>
      <c:catAx>
        <c:axId val="21468181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rgbClr val="3A3A3A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B8B8B8"/>
                </a:solidFill>
                <a:latin typeface="+mn-lt"/>
                <a:ea typeface="+mn-ea"/>
                <a:cs typeface="+mn-cs"/>
              </a:defRPr>
            </a:pPr>
            <a:endParaRPr lang="en-BR"/>
          </a:p>
        </c:txPr>
        <c:crossAx val="2146815040"/>
        <c:crosses val="autoZero"/>
        <c:auto val="1"/>
        <c:lblAlgn val="ctr"/>
        <c:lblOffset val="100"/>
        <c:noMultiLvlLbl val="0"/>
      </c:catAx>
      <c:valAx>
        <c:axId val="214681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rgbClr val="3A3A3A"/>
              </a:solidFill>
              <a:prstDash val="solid"/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solidFill>
              <a:srgbClr val="3A3A3A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B8B8B8"/>
                </a:solidFill>
                <a:latin typeface="+mn-lt"/>
                <a:ea typeface="+mn-ea"/>
                <a:cs typeface="+mn-cs"/>
              </a:defRPr>
            </a:pPr>
            <a:endParaRPr lang="en-BR"/>
          </a:p>
        </c:txPr>
        <c:crossAx val="2146818176"/>
        <c:crosses val="autoZero"/>
        <c:crossBetween val="between"/>
      </c:valAx>
      <c:spPr>
        <a:solidFill>
          <a:srgbClr val="000000"/>
        </a:solidFill>
        <a:ln>
          <a:noFill/>
        </a:ln>
        <a:effectLst/>
      </c:spPr>
    </c:plotArea>
    <c:legend>
      <c:legendPos val="r"/>
      <c:overlay val="0"/>
      <c:spPr>
        <a:solidFill>
          <a:srgbClr val="000000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B8B8B8"/>
              </a:solidFill>
              <a:latin typeface="+mn-lt"/>
              <a:ea typeface="+mn-ea"/>
              <a:cs typeface="+mn-cs"/>
            </a:defRPr>
          </a:pPr>
          <a:endParaRPr lang="en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0000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ard Spend Trend">
          <a:extLst>
            <a:ext uri="{FF2B5EF4-FFF2-40B4-BE49-F238E27FC236}">
              <a16:creationId xmlns:a16="http://schemas.microsoft.com/office/drawing/2014/main" id="{198A1CE9-00A0-55E0-F3CC-B8D6EF7A60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3" name="Top Spend Categories">
          <a:extLst>
            <a:ext uri="{FF2B5EF4-FFF2-40B4-BE49-F238E27FC236}">
              <a16:creationId xmlns:a16="http://schemas.microsoft.com/office/drawing/2014/main" id="{7A562DBC-8630-54F3-F7F1-7D64F442B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A4ACAE-C513-1F4D-B0B0-9886786EA463}" name="InfraChangesTable" displayName="InfraChangesTable" ref="A5:F8" totalsRowShown="0" headerRowDxfId="7" dataDxfId="0">
  <autoFilter ref="A5:F8" xr:uid="{D4A4ACAE-C513-1F4D-B0B0-9886786EA463}"/>
  <tableColumns count="6">
    <tableColumn id="1" xr3:uid="{33EAD34B-CF90-2A4B-AC1E-6D88F32E3494}" name="ID" dataDxfId="6"/>
    <tableColumn id="2" xr3:uid="{AFCF101F-0F43-8845-AE59-1578B2834D81}" name="Infrastructure Area" dataDxfId="5"/>
    <tableColumn id="3" xr3:uid="{88D20466-F218-1C49-BCD7-58A3F403D411}" name="BEFORE (inferred)" dataDxfId="4"/>
    <tableColumn id="4" xr3:uid="{A0E235C4-756B-F94E-9C06-4931E2749987}" name="AFTER (current state)" dataDxfId="3"/>
    <tableColumn id="5" xr3:uid="{62C6EDAE-46E3-BD4D-B2C3-DD7CBB45CDDD}" name="Workbook Evidence" dataDxfId="2"/>
    <tableColumn id="6" xr3:uid="{8BA87EB8-F144-0148-A155-7D0DCB5E7F10}" name="Classificatio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695BC-DD94-5940-AA1B-38505BD5811C}">
  <dimension ref="A1:M47"/>
  <sheetViews>
    <sheetView showGridLines="0" zoomScale="150" zoomScaleNormal="150" workbookViewId="0">
      <selection activeCell="A6" sqref="A6:C7"/>
    </sheetView>
  </sheetViews>
  <sheetFormatPr baseColWidth="10" defaultRowHeight="15" x14ac:dyDescent="0.2"/>
  <cols>
    <col min="1" max="1" width="21.6640625" customWidth="1"/>
    <col min="2" max="2" width="15.33203125" customWidth="1"/>
    <col min="3" max="3" width="15.83203125" customWidth="1"/>
    <col min="4" max="6" width="13" customWidth="1"/>
    <col min="7" max="7" width="3" customWidth="1"/>
    <col min="8" max="8" width="21.6640625" customWidth="1"/>
    <col min="9" max="9" width="15.33203125" customWidth="1"/>
    <col min="10" max="10" width="15.83203125" customWidth="1"/>
    <col min="11" max="12" width="13" customWidth="1"/>
  </cols>
  <sheetData>
    <row r="1" spans="1:13" ht="32" customHeight="1" x14ac:dyDescent="0.3">
      <c r="A1" s="140" t="s">
        <v>478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34"/>
    </row>
    <row r="2" spans="1:13" ht="22" customHeight="1" x14ac:dyDescent="0.2">
      <c r="A2" s="141" t="s">
        <v>479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34"/>
    </row>
    <row r="3" spans="1:13" ht="20" customHeight="1" x14ac:dyDescent="0.2">
      <c r="A3" s="141" t="s">
        <v>480</v>
      </c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34"/>
    </row>
    <row r="4" spans="1:13" x14ac:dyDescent="0.2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4"/>
    </row>
    <row r="5" spans="1:13" ht="22" customHeight="1" x14ac:dyDescent="0.2">
      <c r="A5" s="154" t="s">
        <v>481</v>
      </c>
      <c r="B5" s="155"/>
      <c r="C5" s="155"/>
      <c r="D5" s="156" t="s">
        <v>482</v>
      </c>
      <c r="E5" s="157"/>
      <c r="F5" s="158"/>
      <c r="G5" s="35"/>
      <c r="H5" s="122" t="s">
        <v>484</v>
      </c>
      <c r="I5" s="159"/>
      <c r="J5" s="159"/>
      <c r="K5" s="122" t="s">
        <v>485</v>
      </c>
      <c r="L5" s="123"/>
      <c r="M5" s="34"/>
    </row>
    <row r="6" spans="1:13" ht="28" customHeight="1" x14ac:dyDescent="0.2">
      <c r="A6" s="142">
        <f>BALANCES!C17</f>
        <v>377473.49000000005</v>
      </c>
      <c r="B6" s="143"/>
      <c r="C6" s="143"/>
      <c r="D6" s="145">
        <f>BALANCES!C9</f>
        <v>23196.899999999998</v>
      </c>
      <c r="E6" s="146"/>
      <c r="F6" s="147"/>
      <c r="G6" s="35"/>
      <c r="H6" s="149">
        <f>COUNTIFS(ALERTS!B5:B16,"CRITICAL",ALERTS!G5:G16,"Pending")</f>
        <v>3</v>
      </c>
      <c r="I6" s="150"/>
      <c r="J6" s="150"/>
      <c r="K6" s="152">
        <f>MONTHLY!I11</f>
        <v>-75902.149999999994</v>
      </c>
      <c r="L6" s="153"/>
      <c r="M6" s="34"/>
    </row>
    <row r="7" spans="1:13" ht="28" customHeight="1" x14ac:dyDescent="0.2">
      <c r="A7" s="144"/>
      <c r="B7" s="143"/>
      <c r="C7" s="143"/>
      <c r="D7" s="148"/>
      <c r="E7" s="146"/>
      <c r="F7" s="147"/>
      <c r="G7" s="35"/>
      <c r="H7" s="151"/>
      <c r="I7" s="150"/>
      <c r="J7" s="150"/>
      <c r="K7" s="151"/>
      <c r="L7" s="153"/>
      <c r="M7" s="34"/>
    </row>
    <row r="8" spans="1:13" x14ac:dyDescent="0.2">
      <c r="A8" s="137" t="s">
        <v>486</v>
      </c>
      <c r="B8" s="138"/>
      <c r="C8" s="138"/>
      <c r="D8" s="137" t="s">
        <v>487</v>
      </c>
      <c r="E8" s="138"/>
      <c r="F8" s="139"/>
      <c r="G8" s="35"/>
      <c r="H8" s="137" t="s">
        <v>488</v>
      </c>
      <c r="I8" s="138"/>
      <c r="J8" s="138"/>
      <c r="K8" s="137" t="s">
        <v>489</v>
      </c>
      <c r="L8" s="139"/>
      <c r="M8" s="34"/>
    </row>
    <row r="9" spans="1:13" x14ac:dyDescent="0.2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4"/>
    </row>
    <row r="10" spans="1:13" ht="22" customHeight="1" x14ac:dyDescent="0.2">
      <c r="A10" s="124" t="s">
        <v>490</v>
      </c>
      <c r="B10" s="124"/>
      <c r="C10" s="124"/>
      <c r="D10" s="124"/>
      <c r="E10" s="124"/>
      <c r="F10" s="124"/>
      <c r="G10" s="35"/>
      <c r="H10" s="124" t="s">
        <v>491</v>
      </c>
      <c r="I10" s="124"/>
      <c r="J10" s="124"/>
      <c r="K10" s="124"/>
      <c r="L10" s="124"/>
      <c r="M10" s="34"/>
    </row>
    <row r="11" spans="1:13" ht="16" thickBot="1" x14ac:dyDescent="0.25">
      <c r="A11" s="40" t="s">
        <v>492</v>
      </c>
      <c r="B11" s="39" t="s">
        <v>493</v>
      </c>
      <c r="C11" s="39" t="s">
        <v>494</v>
      </c>
      <c r="D11" s="39" t="s">
        <v>495</v>
      </c>
      <c r="E11" s="39" t="s">
        <v>496</v>
      </c>
      <c r="F11" s="41" t="s">
        <v>497</v>
      </c>
      <c r="G11" s="35"/>
      <c r="H11" s="40" t="s">
        <v>435</v>
      </c>
      <c r="I11" s="39" t="s">
        <v>221</v>
      </c>
      <c r="J11" s="39" t="s">
        <v>551</v>
      </c>
      <c r="K11" s="39" t="s">
        <v>552</v>
      </c>
      <c r="L11" s="41" t="s">
        <v>553</v>
      </c>
      <c r="M11" s="34"/>
    </row>
    <row r="12" spans="1:13" x14ac:dyDescent="0.2">
      <c r="A12" s="48" t="s">
        <v>481</v>
      </c>
      <c r="B12" s="49" t="s">
        <v>498</v>
      </c>
      <c r="C12" s="49" t="s">
        <v>499</v>
      </c>
      <c r="D12" s="49" t="s">
        <v>500</v>
      </c>
      <c r="E12" s="49" t="s">
        <v>501</v>
      </c>
      <c r="F12" s="50" t="s">
        <v>502</v>
      </c>
      <c r="G12" s="35"/>
      <c r="H12" s="58" t="s">
        <v>440</v>
      </c>
      <c r="I12" s="54">
        <v>3</v>
      </c>
      <c r="J12" s="49" t="s">
        <v>554</v>
      </c>
      <c r="K12" s="49" t="s">
        <v>555</v>
      </c>
      <c r="L12" s="50" t="s">
        <v>556</v>
      </c>
      <c r="M12" s="34"/>
    </row>
    <row r="13" spans="1:13" x14ac:dyDescent="0.2">
      <c r="A13" s="51" t="s">
        <v>503</v>
      </c>
      <c r="B13" s="52" t="s">
        <v>504</v>
      </c>
      <c r="C13" s="52" t="s">
        <v>505</v>
      </c>
      <c r="D13" s="52" t="s">
        <v>506</v>
      </c>
      <c r="E13" s="52" t="s">
        <v>507</v>
      </c>
      <c r="F13" s="53" t="s">
        <v>508</v>
      </c>
      <c r="G13" s="35"/>
      <c r="H13" s="57" t="s">
        <v>218</v>
      </c>
      <c r="I13" s="55">
        <v>4</v>
      </c>
      <c r="J13" s="52" t="s">
        <v>557</v>
      </c>
      <c r="K13" s="52" t="s">
        <v>558</v>
      </c>
      <c r="L13" s="53" t="s">
        <v>559</v>
      </c>
      <c r="M13" s="34"/>
    </row>
    <row r="14" spans="1:13" x14ac:dyDescent="0.2">
      <c r="A14" s="51" t="s">
        <v>509</v>
      </c>
      <c r="B14" s="52" t="s">
        <v>510</v>
      </c>
      <c r="C14" s="52" t="s">
        <v>511</v>
      </c>
      <c r="D14" s="52" t="s">
        <v>512</v>
      </c>
      <c r="E14" s="52" t="s">
        <v>513</v>
      </c>
      <c r="F14" s="53" t="s">
        <v>514</v>
      </c>
      <c r="G14" s="35"/>
      <c r="H14" s="57" t="s">
        <v>227</v>
      </c>
      <c r="I14" s="55">
        <v>3</v>
      </c>
      <c r="J14" s="52" t="s">
        <v>560</v>
      </c>
      <c r="K14" s="52" t="s">
        <v>561</v>
      </c>
      <c r="L14" s="53" t="s">
        <v>562</v>
      </c>
      <c r="M14" s="34"/>
    </row>
    <row r="15" spans="1:13" x14ac:dyDescent="0.2">
      <c r="A15" s="51" t="s">
        <v>483</v>
      </c>
      <c r="B15" s="52" t="s">
        <v>515</v>
      </c>
      <c r="C15" s="52" t="s">
        <v>516</v>
      </c>
      <c r="D15" s="52" t="s">
        <v>517</v>
      </c>
      <c r="E15" s="52" t="s">
        <v>518</v>
      </c>
      <c r="F15" s="53" t="s">
        <v>519</v>
      </c>
      <c r="G15" s="35"/>
      <c r="H15" s="56" t="s">
        <v>248</v>
      </c>
      <c r="I15" s="55">
        <v>1</v>
      </c>
      <c r="J15" s="52" t="s">
        <v>563</v>
      </c>
      <c r="K15" s="52" t="s">
        <v>473</v>
      </c>
      <c r="L15" s="53" t="s">
        <v>564</v>
      </c>
      <c r="M15" s="34"/>
    </row>
    <row r="16" spans="1:13" x14ac:dyDescent="0.2">
      <c r="A16" s="51" t="s">
        <v>520</v>
      </c>
      <c r="B16" s="52" t="s">
        <v>521</v>
      </c>
      <c r="C16" s="52" t="s">
        <v>522</v>
      </c>
      <c r="D16" s="52" t="s">
        <v>523</v>
      </c>
      <c r="E16" s="52" t="s">
        <v>501</v>
      </c>
      <c r="F16" s="53" t="s">
        <v>524</v>
      </c>
      <c r="G16" s="35"/>
      <c r="H16" s="35"/>
      <c r="I16" s="35"/>
      <c r="J16" s="35"/>
      <c r="K16" s="35"/>
      <c r="L16" s="35"/>
      <c r="M16" s="34"/>
    </row>
    <row r="17" spans="1:13" x14ac:dyDescent="0.2">
      <c r="A17" s="51" t="s">
        <v>525</v>
      </c>
      <c r="B17" s="52" t="s">
        <v>526</v>
      </c>
      <c r="C17" s="52" t="s">
        <v>527</v>
      </c>
      <c r="D17" s="52" t="s">
        <v>528</v>
      </c>
      <c r="E17" s="52" t="s">
        <v>501</v>
      </c>
      <c r="F17" s="53" t="s">
        <v>529</v>
      </c>
      <c r="G17" s="35"/>
      <c r="H17" s="124" t="s">
        <v>565</v>
      </c>
      <c r="I17" s="124"/>
      <c r="J17" s="124"/>
      <c r="K17" s="124"/>
      <c r="L17" s="124"/>
      <c r="M17" s="34"/>
    </row>
    <row r="18" spans="1:13" ht="16" thickBot="1" x14ac:dyDescent="0.25">
      <c r="A18" s="51" t="s">
        <v>530</v>
      </c>
      <c r="B18" s="52" t="s">
        <v>531</v>
      </c>
      <c r="C18" s="52" t="s">
        <v>532</v>
      </c>
      <c r="D18" s="52" t="s">
        <v>533</v>
      </c>
      <c r="E18" s="52" t="s">
        <v>501</v>
      </c>
      <c r="F18" s="53" t="s">
        <v>534</v>
      </c>
      <c r="G18" s="35"/>
      <c r="H18" s="40" t="s">
        <v>566</v>
      </c>
      <c r="I18" s="39" t="s">
        <v>567</v>
      </c>
      <c r="J18" s="39" t="s">
        <v>568</v>
      </c>
      <c r="K18" s="39" t="s">
        <v>569</v>
      </c>
      <c r="L18" s="41"/>
      <c r="M18" s="34"/>
    </row>
    <row r="19" spans="1:13" x14ac:dyDescent="0.2">
      <c r="A19" s="51" t="s">
        <v>535</v>
      </c>
      <c r="B19" s="52" t="s">
        <v>536</v>
      </c>
      <c r="C19" s="52" t="s">
        <v>537</v>
      </c>
      <c r="D19" s="52" t="s">
        <v>538</v>
      </c>
      <c r="E19" s="52" t="s">
        <v>539</v>
      </c>
      <c r="F19" s="53" t="s">
        <v>540</v>
      </c>
      <c r="G19" s="35"/>
      <c r="H19" s="59" t="s">
        <v>570</v>
      </c>
      <c r="I19" s="49" t="s">
        <v>571</v>
      </c>
      <c r="J19" s="49" t="s">
        <v>572</v>
      </c>
      <c r="K19" s="49" t="s">
        <v>573</v>
      </c>
      <c r="L19" s="50"/>
      <c r="M19" s="34"/>
    </row>
    <row r="20" spans="1:13" x14ac:dyDescent="0.2">
      <c r="A20" s="51" t="s">
        <v>485</v>
      </c>
      <c r="B20" s="52" t="s">
        <v>541</v>
      </c>
      <c r="C20" s="52" t="s">
        <v>542</v>
      </c>
      <c r="D20" s="52" t="s">
        <v>543</v>
      </c>
      <c r="E20" s="52" t="s">
        <v>513</v>
      </c>
      <c r="F20" s="53" t="s">
        <v>544</v>
      </c>
      <c r="G20" s="35"/>
      <c r="H20" s="60" t="s">
        <v>574</v>
      </c>
      <c r="I20" s="52" t="s">
        <v>575</v>
      </c>
      <c r="J20" s="52" t="s">
        <v>576</v>
      </c>
      <c r="K20" s="52" t="s">
        <v>577</v>
      </c>
      <c r="L20" s="53"/>
      <c r="M20" s="34"/>
    </row>
    <row r="21" spans="1:13" x14ac:dyDescent="0.2">
      <c r="A21" s="51" t="s">
        <v>545</v>
      </c>
      <c r="B21" s="52" t="s">
        <v>546</v>
      </c>
      <c r="C21" s="52" t="s">
        <v>547</v>
      </c>
      <c r="D21" s="52" t="s">
        <v>548</v>
      </c>
      <c r="E21" s="52" t="s">
        <v>549</v>
      </c>
      <c r="F21" s="53" t="s">
        <v>550</v>
      </c>
      <c r="G21" s="35"/>
      <c r="H21" s="61" t="s">
        <v>578</v>
      </c>
      <c r="I21" s="52" t="s">
        <v>579</v>
      </c>
      <c r="J21" s="52" t="s">
        <v>580</v>
      </c>
      <c r="K21" s="52" t="s">
        <v>581</v>
      </c>
      <c r="L21" s="53" t="s">
        <v>582</v>
      </c>
      <c r="M21" s="34"/>
    </row>
    <row r="22" spans="1:13" x14ac:dyDescent="0.2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4"/>
    </row>
    <row r="23" spans="1:13" ht="22" customHeight="1" x14ac:dyDescent="0.2">
      <c r="A23" s="124" t="s">
        <v>583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34"/>
    </row>
    <row r="24" spans="1:13" ht="16" thickBot="1" x14ac:dyDescent="0.25">
      <c r="A24" s="125" t="str">
        <f>"1. CAPITAL | Estimated net worth is "&amp;FIXED(BALANCES!C17,0,FALSE)&amp;" BRL, with "&amp;FIXED(BALANCES!C9/BALANCES!C17*100,1,FALSE)&amp;"% held liquid."</f>
        <v>1. CAPITAL | Estimated net worth is 377.473 BRL, with 6,1% held liquid.</v>
      </c>
      <c r="B24" s="126"/>
      <c r="C24" s="126"/>
      <c r="D24" s="126"/>
      <c r="E24" s="126"/>
      <c r="F24" s="126"/>
      <c r="G24" s="126"/>
      <c r="H24" s="126"/>
      <c r="I24" s="126"/>
      <c r="J24" s="126"/>
      <c r="K24" s="126"/>
      <c r="L24" s="127"/>
      <c r="M24" s="34"/>
    </row>
    <row r="25" spans="1:13" x14ac:dyDescent="0.2">
      <c r="A25" s="128" t="str">
        <f>"2. SPEND | Card spend peaked at "&amp;FIXED(MAX(MONTHLY!B5:B10),0,FALSE)&amp;" BRL; June fell "&amp;FIXED(ABS(MONTHLY!D17)*100,1,FALSE)&amp;"% month over month."</f>
        <v>2. SPEND | Card spend peaked at 14.231 BRL; June fell 66,3% month over month.</v>
      </c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30"/>
      <c r="M25" s="34"/>
    </row>
    <row r="26" spans="1:13" x14ac:dyDescent="0.2">
      <c r="A26" s="131" t="str">
        <f>"3. SUBSCRIPTIONS | The confirmed cancellation queue saves "&amp;FIXED(SUBSCRIPTIONS!E23,2,FALSE)&amp;" BRL per month and "&amp;FIXED(SUBSCRIPTIONS!E26,2,FALSE)&amp;" BRL per year."</f>
        <v>3. SUBSCRIPTIONS | The confirmed cancellation queue saves 365,80 BRL per month and 4.389,60 BRL per year.</v>
      </c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3"/>
      <c r="M26" s="34"/>
    </row>
    <row r="27" spans="1:13" x14ac:dyDescent="0.2">
      <c r="A27" s="134" t="str">
        <f>"4. PRIORITY | "&amp;COUNTIFS(ALERTS!B5:B16,"CRITICAL",ALERTS!G5:G16,"Pending")&amp;" critical alerts remain pending; FX reconciliation carries the largest exposure."</f>
        <v>4. PRIORITY | 3 critical alerts remain pending; FX reconciliation carries the largest exposure.</v>
      </c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6"/>
      <c r="M27" s="34"/>
    </row>
    <row r="28" spans="1:13" x14ac:dyDescent="0.2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</row>
    <row r="29" spans="1:13" x14ac:dyDescent="0.2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</row>
    <row r="30" spans="1:13" x14ac:dyDescent="0.2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</row>
    <row r="31" spans="1:13" x14ac:dyDescent="0.2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</row>
    <row r="32" spans="1:13" x14ac:dyDescent="0.2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</row>
    <row r="33" spans="1:13" x14ac:dyDescent="0.2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</row>
    <row r="34" spans="1:13" x14ac:dyDescent="0.2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</row>
    <row r="35" spans="1:13" x14ac:dyDescent="0.2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</row>
    <row r="36" spans="1:13" x14ac:dyDescent="0.2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</row>
    <row r="37" spans="1:13" x14ac:dyDescent="0.2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</row>
    <row r="38" spans="1:13" x14ac:dyDescent="0.2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</row>
    <row r="39" spans="1:13" x14ac:dyDescent="0.2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</row>
    <row r="40" spans="1:13" x14ac:dyDescent="0.2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</row>
    <row r="41" spans="1:13" x14ac:dyDescent="0.2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</row>
    <row r="42" spans="1:13" x14ac:dyDescent="0.2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</row>
    <row r="43" spans="1:13" x14ac:dyDescent="0.2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</row>
    <row r="44" spans="1:13" x14ac:dyDescent="0.2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</row>
    <row r="45" spans="1:13" x14ac:dyDescent="0.2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</row>
    <row r="46" spans="1:13" x14ac:dyDescent="0.2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</row>
    <row r="47" spans="1:13" x14ac:dyDescent="0.2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</row>
  </sheetData>
  <mergeCells count="23">
    <mergeCell ref="A1:L1"/>
    <mergeCell ref="A2:L2"/>
    <mergeCell ref="A3:L3"/>
    <mergeCell ref="A6:C7"/>
    <mergeCell ref="D6:F7"/>
    <mergeCell ref="H6:J7"/>
    <mergeCell ref="K6:L7"/>
    <mergeCell ref="A5:C5"/>
    <mergeCell ref="D5:F5"/>
    <mergeCell ref="H5:J5"/>
    <mergeCell ref="A26:L26"/>
    <mergeCell ref="A27:L27"/>
    <mergeCell ref="A8:C8"/>
    <mergeCell ref="D8:F8"/>
    <mergeCell ref="H8:J8"/>
    <mergeCell ref="K8:L8"/>
    <mergeCell ref="A10:F10"/>
    <mergeCell ref="H10:L10"/>
    <mergeCell ref="K5:L5"/>
    <mergeCell ref="H17:L17"/>
    <mergeCell ref="A23:L23"/>
    <mergeCell ref="A24:L24"/>
    <mergeCell ref="A25:L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244C-ACFF-AA44-8C74-F46576B74A8F}">
  <dimension ref="A1:F16"/>
  <sheetViews>
    <sheetView tabSelected="1" workbookViewId="0">
      <selection activeCell="K13" sqref="K13"/>
    </sheetView>
  </sheetViews>
  <sheetFormatPr baseColWidth="10" defaultRowHeight="15" x14ac:dyDescent="0.2"/>
  <cols>
    <col min="1" max="1" width="11.6640625" customWidth="1"/>
    <col min="2" max="2" width="23.33203125" customWidth="1"/>
    <col min="3" max="4" width="33.33203125" customWidth="1"/>
    <col min="5" max="5" width="23.33203125" customWidth="1"/>
    <col min="6" max="6" width="14.1640625" customWidth="1"/>
  </cols>
  <sheetData>
    <row r="1" spans="1:6" ht="32" customHeight="1" x14ac:dyDescent="0.2">
      <c r="A1" s="160" t="s">
        <v>584</v>
      </c>
      <c r="B1" s="160"/>
      <c r="C1" s="160"/>
      <c r="D1" s="160"/>
      <c r="E1" s="160"/>
      <c r="F1" s="160"/>
    </row>
    <row r="2" spans="1:6" ht="30" customHeight="1" x14ac:dyDescent="0.2">
      <c r="A2" s="161" t="s">
        <v>585</v>
      </c>
      <c r="B2" s="161"/>
      <c r="C2" s="161"/>
      <c r="D2" s="161"/>
      <c r="E2" s="161"/>
      <c r="F2" s="161"/>
    </row>
    <row r="4" spans="1:6" ht="16" x14ac:dyDescent="0.2">
      <c r="A4" s="162" t="s">
        <v>586</v>
      </c>
      <c r="B4" s="162"/>
      <c r="C4" s="162"/>
      <c r="D4" s="162"/>
      <c r="E4" s="162"/>
      <c r="F4" s="162"/>
    </row>
    <row r="5" spans="1:6" x14ac:dyDescent="0.2">
      <c r="A5" s="163" t="s">
        <v>587</v>
      </c>
      <c r="B5" s="163" t="s">
        <v>588</v>
      </c>
      <c r="C5" s="163" t="s">
        <v>589</v>
      </c>
      <c r="D5" s="163" t="s">
        <v>590</v>
      </c>
      <c r="E5" s="163" t="s">
        <v>591</v>
      </c>
      <c r="F5" s="163" t="s">
        <v>426</v>
      </c>
    </row>
    <row r="6" spans="1:6" ht="48" x14ac:dyDescent="0.2">
      <c r="A6" s="164">
        <v>1</v>
      </c>
      <c r="B6" s="165" t="s">
        <v>592</v>
      </c>
      <c r="C6" s="165" t="s">
        <v>593</v>
      </c>
      <c r="D6" s="165" t="s">
        <v>594</v>
      </c>
      <c r="E6" s="165" t="s">
        <v>595</v>
      </c>
      <c r="F6" s="164" t="s">
        <v>596</v>
      </c>
    </row>
    <row r="7" spans="1:6" ht="32" x14ac:dyDescent="0.2">
      <c r="A7" s="164">
        <v>2</v>
      </c>
      <c r="B7" s="165" t="s">
        <v>527</v>
      </c>
      <c r="C7" s="165" t="s">
        <v>597</v>
      </c>
      <c r="D7" s="165" t="s">
        <v>598</v>
      </c>
      <c r="E7" s="165" t="s">
        <v>599</v>
      </c>
      <c r="F7" s="164" t="s">
        <v>596</v>
      </c>
    </row>
    <row r="8" spans="1:6" ht="48" x14ac:dyDescent="0.2">
      <c r="A8" s="164">
        <v>3</v>
      </c>
      <c r="B8" s="165" t="s">
        <v>600</v>
      </c>
      <c r="C8" s="165" t="s">
        <v>601</v>
      </c>
      <c r="D8" s="165" t="s">
        <v>602</v>
      </c>
      <c r="E8" s="165" t="s">
        <v>603</v>
      </c>
      <c r="F8" s="164" t="s">
        <v>596</v>
      </c>
    </row>
    <row r="10" spans="1:6" ht="16" x14ac:dyDescent="0.2">
      <c r="A10" s="162" t="s">
        <v>604</v>
      </c>
      <c r="B10" s="162"/>
      <c r="C10" s="162"/>
      <c r="D10" s="162"/>
      <c r="E10" s="162"/>
      <c r="F10" s="162"/>
    </row>
    <row r="11" spans="1:6" x14ac:dyDescent="0.2">
      <c r="A11" s="166" t="s">
        <v>605</v>
      </c>
      <c r="B11" s="166" t="s">
        <v>606</v>
      </c>
    </row>
    <row r="12" spans="1:6" ht="48" x14ac:dyDescent="0.2">
      <c r="A12" s="167" t="s">
        <v>607</v>
      </c>
      <c r="B12" s="168" t="s">
        <v>608</v>
      </c>
    </row>
    <row r="13" spans="1:6" ht="48" x14ac:dyDescent="0.2">
      <c r="A13" s="167" t="s">
        <v>609</v>
      </c>
      <c r="B13" s="168" t="s">
        <v>610</v>
      </c>
    </row>
    <row r="14" spans="1:6" ht="48" x14ac:dyDescent="0.2">
      <c r="A14" s="167" t="s">
        <v>611</v>
      </c>
      <c r="B14" s="168" t="s">
        <v>612</v>
      </c>
    </row>
    <row r="16" spans="1:6" x14ac:dyDescent="0.2">
      <c r="A16" s="169" t="s">
        <v>613</v>
      </c>
      <c r="B16" s="169"/>
      <c r="C16" s="169"/>
      <c r="D16" s="169"/>
      <c r="E16" s="169"/>
      <c r="F16" s="169"/>
    </row>
  </sheetData>
  <mergeCells count="5">
    <mergeCell ref="A1:F1"/>
    <mergeCell ref="A2:F2"/>
    <mergeCell ref="A4:F4"/>
    <mergeCell ref="A10:F10"/>
    <mergeCell ref="A16:F16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6600"/>
  </sheetPr>
  <dimension ref="A1:H24"/>
  <sheetViews>
    <sheetView zoomScale="200" zoomScaleNormal="2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18" customWidth="1"/>
    <col min="2" max="2" width="12" customWidth="1"/>
    <col min="3" max="4" width="16" customWidth="1"/>
    <col min="5" max="5" width="14" customWidth="1"/>
    <col min="6" max="6" width="12" customWidth="1"/>
    <col min="7" max="7" width="45" customWidth="1"/>
  </cols>
  <sheetData>
    <row r="1" spans="1:8" ht="16" x14ac:dyDescent="0.2">
      <c r="A1" s="65" t="s">
        <v>0</v>
      </c>
      <c r="B1" s="66"/>
      <c r="C1" s="66"/>
      <c r="D1" s="66"/>
      <c r="E1" s="66"/>
      <c r="F1" s="66"/>
      <c r="G1" s="66"/>
      <c r="H1" s="34"/>
    </row>
    <row r="2" spans="1:8" x14ac:dyDescent="0.2">
      <c r="A2" s="67" t="s">
        <v>1</v>
      </c>
      <c r="B2" s="36"/>
      <c r="C2" s="36"/>
      <c r="D2" s="36"/>
      <c r="E2" s="36"/>
      <c r="F2" s="36"/>
      <c r="G2" s="36"/>
      <c r="H2" s="34"/>
    </row>
    <row r="3" spans="1:8" x14ac:dyDescent="0.2">
      <c r="A3" s="35"/>
      <c r="B3" s="35"/>
      <c r="C3" s="35"/>
      <c r="D3" s="35"/>
      <c r="E3" s="35"/>
      <c r="F3" s="35"/>
      <c r="G3" s="35"/>
      <c r="H3" s="34"/>
    </row>
    <row r="4" spans="1:8" ht="16" thickBot="1" x14ac:dyDescent="0.25">
      <c r="A4" s="78" t="s">
        <v>2</v>
      </c>
      <c r="B4" s="77" t="s">
        <v>3</v>
      </c>
      <c r="C4" s="77" t="s">
        <v>4</v>
      </c>
      <c r="D4" s="77" t="s">
        <v>5</v>
      </c>
      <c r="E4" s="77" t="s">
        <v>6</v>
      </c>
      <c r="F4" s="77" t="s">
        <v>7</v>
      </c>
      <c r="G4" s="79" t="s">
        <v>8</v>
      </c>
      <c r="H4" s="34"/>
    </row>
    <row r="5" spans="1:8" x14ac:dyDescent="0.2">
      <c r="A5" s="80" t="s">
        <v>9</v>
      </c>
      <c r="B5" s="81" t="s">
        <v>10</v>
      </c>
      <c r="C5" s="101">
        <v>18934.669999999998</v>
      </c>
      <c r="D5" s="102"/>
      <c r="E5" s="105" t="s">
        <v>11</v>
      </c>
      <c r="F5" s="99" t="s">
        <v>12</v>
      </c>
      <c r="G5" s="83" t="s">
        <v>13</v>
      </c>
      <c r="H5" s="34"/>
    </row>
    <row r="6" spans="1:8" x14ac:dyDescent="0.2">
      <c r="A6" s="84" t="s">
        <v>14</v>
      </c>
      <c r="B6" s="85" t="s">
        <v>10</v>
      </c>
      <c r="C6" s="103">
        <v>4262.2299999999996</v>
      </c>
      <c r="D6" s="104"/>
      <c r="E6" s="106" t="s">
        <v>15</v>
      </c>
      <c r="F6" s="100" t="s">
        <v>12</v>
      </c>
      <c r="G6" s="87" t="s">
        <v>16</v>
      </c>
      <c r="H6" s="34"/>
    </row>
    <row r="7" spans="1:8" x14ac:dyDescent="0.2">
      <c r="A7" s="84" t="s">
        <v>17</v>
      </c>
      <c r="B7" s="85" t="s">
        <v>18</v>
      </c>
      <c r="C7" s="103">
        <v>0</v>
      </c>
      <c r="D7" s="104"/>
      <c r="E7" s="106" t="s">
        <v>11</v>
      </c>
      <c r="F7" s="100" t="s">
        <v>12</v>
      </c>
      <c r="G7" s="87" t="s">
        <v>19</v>
      </c>
      <c r="H7" s="34"/>
    </row>
    <row r="8" spans="1:8" ht="16" thickBot="1" x14ac:dyDescent="0.25">
      <c r="A8" s="35"/>
      <c r="B8" s="35"/>
      <c r="C8" s="35"/>
      <c r="D8" s="35"/>
      <c r="E8" s="35"/>
      <c r="F8" s="35"/>
      <c r="G8" s="35"/>
      <c r="H8" s="34"/>
    </row>
    <row r="9" spans="1:8" ht="16" thickBot="1" x14ac:dyDescent="0.25">
      <c r="A9" s="71" t="s">
        <v>20</v>
      </c>
      <c r="B9" s="72"/>
      <c r="C9" s="73">
        <f>SUM(C5:C7)</f>
        <v>23196.899999999998</v>
      </c>
      <c r="D9" s="72"/>
      <c r="E9" s="72"/>
      <c r="F9" s="72"/>
      <c r="G9" s="72"/>
      <c r="H9" s="34"/>
    </row>
    <row r="10" spans="1:8" x14ac:dyDescent="0.2">
      <c r="A10" s="35"/>
      <c r="B10" s="35"/>
      <c r="C10" s="35"/>
      <c r="D10" s="35"/>
      <c r="E10" s="35"/>
      <c r="F10" s="35"/>
      <c r="G10" s="35"/>
      <c r="H10" s="34"/>
    </row>
    <row r="11" spans="1:8" x14ac:dyDescent="0.2">
      <c r="A11" s="74" t="s">
        <v>21</v>
      </c>
      <c r="B11" s="37"/>
      <c r="C11" s="37"/>
      <c r="D11" s="37"/>
      <c r="E11" s="37"/>
      <c r="F11" s="37"/>
      <c r="G11" s="37"/>
      <c r="H11" s="34"/>
    </row>
    <row r="12" spans="1:8" ht="16" thickBot="1" x14ac:dyDescent="0.25">
      <c r="A12" s="92" t="s">
        <v>22</v>
      </c>
      <c r="B12" s="88" t="s">
        <v>3</v>
      </c>
      <c r="C12" s="88" t="s">
        <v>23</v>
      </c>
      <c r="D12" s="88" t="s">
        <v>24</v>
      </c>
      <c r="E12" s="88" t="s">
        <v>25</v>
      </c>
      <c r="F12" s="88" t="s">
        <v>7</v>
      </c>
      <c r="G12" s="93" t="s">
        <v>8</v>
      </c>
      <c r="H12" s="34"/>
    </row>
    <row r="13" spans="1:8" x14ac:dyDescent="0.2">
      <c r="A13" s="80" t="s">
        <v>26</v>
      </c>
      <c r="B13" s="81" t="s">
        <v>27</v>
      </c>
      <c r="C13" s="107">
        <f>SUMIFS(FX_OPS!F5:F100,FX_OPS!H5:H100,"IB Deposit")-SUMIFS(FX_OPS!F5:F100,FX_OPS!H5:H100,"IB Withdraw")</f>
        <v>178510.76</v>
      </c>
      <c r="D13" s="107">
        <f>SUMIFS(FX_OPS!E5:E100,FX_OPS!H5:H100,"IB Deposit")-SUMIFS(FX_OPS!E5:E100,FX_OPS!H5:H100,"IB Withdraw")</f>
        <v>34966.42</v>
      </c>
      <c r="E13" s="81" t="s">
        <v>28</v>
      </c>
      <c r="F13" s="99" t="s">
        <v>29</v>
      </c>
      <c r="G13" s="83" t="s">
        <v>30</v>
      </c>
      <c r="H13" s="34"/>
    </row>
    <row r="14" spans="1:8" x14ac:dyDescent="0.2">
      <c r="A14" s="84" t="s">
        <v>31</v>
      </c>
      <c r="B14" s="85" t="s">
        <v>32</v>
      </c>
      <c r="C14" s="108">
        <f>SUMIFS(FX_OPS!F5:F100,FX_OPS!H5:H100,"Fund Deposit")</f>
        <v>175765.83000000002</v>
      </c>
      <c r="D14" s="109"/>
      <c r="E14" s="85" t="s">
        <v>33</v>
      </c>
      <c r="F14" s="100" t="s">
        <v>29</v>
      </c>
      <c r="G14" s="87" t="s">
        <v>34</v>
      </c>
      <c r="H14" s="34"/>
    </row>
    <row r="15" spans="1:8" ht="16" thickBot="1" x14ac:dyDescent="0.25">
      <c r="A15" s="89" t="s">
        <v>35</v>
      </c>
      <c r="B15" s="90"/>
      <c r="C15" s="91">
        <f>SUM(C13:C14)</f>
        <v>354276.59</v>
      </c>
      <c r="D15" s="90"/>
      <c r="E15" s="90"/>
      <c r="F15" s="90"/>
      <c r="G15" s="90"/>
      <c r="H15" s="34"/>
    </row>
    <row r="16" spans="1:8" ht="16" thickBot="1" x14ac:dyDescent="0.25">
      <c r="A16" s="35"/>
      <c r="B16" s="35"/>
      <c r="C16" s="35"/>
      <c r="D16" s="35"/>
      <c r="E16" s="35"/>
      <c r="F16" s="35"/>
      <c r="G16" s="35"/>
      <c r="H16" s="34"/>
    </row>
    <row r="17" spans="1:8" ht="16" thickBot="1" x14ac:dyDescent="0.25">
      <c r="A17" s="75" t="s">
        <v>36</v>
      </c>
      <c r="B17" s="72"/>
      <c r="C17" s="76">
        <f>C9+C15</f>
        <v>377473.49000000005</v>
      </c>
      <c r="D17" s="72"/>
      <c r="E17" s="72"/>
      <c r="F17" s="72"/>
      <c r="G17" s="72"/>
      <c r="H17" s="34"/>
    </row>
    <row r="18" spans="1:8" x14ac:dyDescent="0.2">
      <c r="A18" s="35"/>
      <c r="B18" s="35"/>
      <c r="C18" s="35"/>
      <c r="D18" s="35"/>
      <c r="E18" s="35"/>
      <c r="F18" s="35"/>
      <c r="G18" s="35"/>
      <c r="H18" s="34"/>
    </row>
    <row r="19" spans="1:8" x14ac:dyDescent="0.2">
      <c r="A19" s="74" t="s">
        <v>37</v>
      </c>
      <c r="B19" s="37"/>
      <c r="C19" s="37"/>
      <c r="D19" s="37"/>
      <c r="E19" s="37"/>
      <c r="F19" s="37"/>
      <c r="G19" s="37"/>
      <c r="H19" s="34"/>
    </row>
    <row r="20" spans="1:8" ht="16" thickBot="1" x14ac:dyDescent="0.25">
      <c r="A20" s="94" t="s">
        <v>38</v>
      </c>
      <c r="B20" s="42"/>
      <c r="C20" s="42"/>
      <c r="D20" s="42"/>
      <c r="E20" s="42"/>
      <c r="F20" s="42"/>
      <c r="G20" s="43"/>
      <c r="H20" s="34"/>
    </row>
    <row r="21" spans="1:8" x14ac:dyDescent="0.2">
      <c r="A21" s="95" t="s">
        <v>39</v>
      </c>
      <c r="B21" s="44"/>
      <c r="C21" s="44"/>
      <c r="D21" s="44"/>
      <c r="E21" s="44"/>
      <c r="F21" s="44"/>
      <c r="G21" s="45"/>
      <c r="H21" s="34"/>
    </row>
    <row r="22" spans="1:8" x14ac:dyDescent="0.2">
      <c r="A22" s="97" t="s">
        <v>40</v>
      </c>
      <c r="B22" s="38"/>
      <c r="C22" s="38"/>
      <c r="D22" s="38"/>
      <c r="E22" s="38"/>
      <c r="F22" s="38"/>
      <c r="G22" s="98"/>
      <c r="H22" s="34"/>
    </row>
    <row r="23" spans="1:8" x14ac:dyDescent="0.2">
      <c r="A23" s="96" t="s">
        <v>41</v>
      </c>
      <c r="B23" s="46"/>
      <c r="C23" s="46"/>
      <c r="D23" s="46"/>
      <c r="E23" s="46"/>
      <c r="F23" s="46"/>
      <c r="G23" s="47"/>
      <c r="H23" s="34"/>
    </row>
    <row r="24" spans="1:8" x14ac:dyDescent="0.2">
      <c r="A24" s="34"/>
      <c r="B24" s="34"/>
      <c r="C24" s="34"/>
      <c r="D24" s="34"/>
      <c r="E24" s="34"/>
      <c r="F24" s="34"/>
      <c r="G24" s="34"/>
      <c r="H24" s="3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6600"/>
  </sheetPr>
  <dimension ref="A1:J46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13" customWidth="1"/>
    <col min="2" max="2" width="16" customWidth="1"/>
    <col min="3" max="3" width="28" customWidth="1"/>
    <col min="4" max="4" width="6" customWidth="1"/>
    <col min="5" max="5" width="14" customWidth="1"/>
    <col min="6" max="6" width="16" customWidth="1"/>
    <col min="7" max="7" width="10" customWidth="1"/>
    <col min="8" max="8" width="14" customWidth="1"/>
    <col min="9" max="9" width="24" customWidth="1"/>
  </cols>
  <sheetData>
    <row r="1" spans="1:10" ht="16" x14ac:dyDescent="0.2">
      <c r="A1" s="65" t="s">
        <v>42</v>
      </c>
      <c r="B1" s="66"/>
      <c r="C1" s="66"/>
      <c r="D1" s="66"/>
      <c r="E1" s="66"/>
      <c r="F1" s="66"/>
      <c r="G1" s="66"/>
      <c r="H1" s="66"/>
      <c r="I1" s="66"/>
      <c r="J1" s="34"/>
    </row>
    <row r="2" spans="1:10" x14ac:dyDescent="0.2">
      <c r="A2" s="67" t="s">
        <v>43</v>
      </c>
      <c r="B2" s="36"/>
      <c r="C2" s="36"/>
      <c r="D2" s="36"/>
      <c r="E2" s="36"/>
      <c r="F2" s="36"/>
      <c r="G2" s="36"/>
      <c r="H2" s="36"/>
      <c r="I2" s="36"/>
      <c r="J2" s="34"/>
    </row>
    <row r="3" spans="1:10" x14ac:dyDescent="0.2">
      <c r="A3" s="35"/>
      <c r="B3" s="35"/>
      <c r="C3" s="35"/>
      <c r="D3" s="35"/>
      <c r="E3" s="35"/>
      <c r="F3" s="35"/>
      <c r="G3" s="35"/>
      <c r="H3" s="35"/>
      <c r="I3" s="35"/>
      <c r="J3" s="34"/>
    </row>
    <row r="4" spans="1:10" ht="16" thickBot="1" x14ac:dyDescent="0.25">
      <c r="A4" s="78" t="s">
        <v>44</v>
      </c>
      <c r="B4" s="77" t="s">
        <v>2</v>
      </c>
      <c r="C4" s="77" t="s">
        <v>45</v>
      </c>
      <c r="D4" s="77" t="s">
        <v>46</v>
      </c>
      <c r="E4" s="77" t="s">
        <v>47</v>
      </c>
      <c r="F4" s="77" t="s">
        <v>48</v>
      </c>
      <c r="G4" s="77" t="s">
        <v>49</v>
      </c>
      <c r="H4" s="77" t="s">
        <v>50</v>
      </c>
      <c r="I4" s="79" t="s">
        <v>51</v>
      </c>
      <c r="J4" s="34"/>
    </row>
    <row r="5" spans="1:10" x14ac:dyDescent="0.2">
      <c r="A5" s="80" t="s">
        <v>52</v>
      </c>
      <c r="B5" s="81" t="s">
        <v>53</v>
      </c>
      <c r="C5" s="81" t="s">
        <v>54</v>
      </c>
      <c r="D5" s="81" t="s">
        <v>55</v>
      </c>
      <c r="E5" s="82">
        <v>200</v>
      </c>
      <c r="F5" s="82">
        <v>1071.22</v>
      </c>
      <c r="G5" s="110">
        <v>5.3560999999999996</v>
      </c>
      <c r="H5" s="81" t="s">
        <v>56</v>
      </c>
      <c r="I5" s="83" t="s">
        <v>57</v>
      </c>
      <c r="J5" s="34"/>
    </row>
    <row r="6" spans="1:10" x14ac:dyDescent="0.2">
      <c r="A6" s="84" t="s">
        <v>58</v>
      </c>
      <c r="B6" s="85" t="s">
        <v>17</v>
      </c>
      <c r="C6" s="85" t="s">
        <v>59</v>
      </c>
      <c r="D6" s="85" t="s">
        <v>55</v>
      </c>
      <c r="E6" s="86">
        <v>3000</v>
      </c>
      <c r="F6" s="86">
        <v>15886.01</v>
      </c>
      <c r="G6" s="111">
        <v>5.2953000000000001</v>
      </c>
      <c r="H6" s="85" t="s">
        <v>60</v>
      </c>
      <c r="I6" s="87" t="s">
        <v>61</v>
      </c>
      <c r="J6" s="34"/>
    </row>
    <row r="7" spans="1:10" x14ac:dyDescent="0.2">
      <c r="A7" s="84" t="s">
        <v>62</v>
      </c>
      <c r="B7" s="85" t="s">
        <v>17</v>
      </c>
      <c r="C7" s="85" t="s">
        <v>59</v>
      </c>
      <c r="D7" s="85" t="s">
        <v>55</v>
      </c>
      <c r="E7" s="86">
        <v>3000</v>
      </c>
      <c r="F7" s="86">
        <v>16063.89</v>
      </c>
      <c r="G7" s="111">
        <v>5.3545999999999996</v>
      </c>
      <c r="H7" s="85" t="s">
        <v>60</v>
      </c>
      <c r="I7" s="87" t="s">
        <v>61</v>
      </c>
      <c r="J7" s="34"/>
    </row>
    <row r="8" spans="1:10" x14ac:dyDescent="0.2">
      <c r="A8" s="84" t="s">
        <v>63</v>
      </c>
      <c r="B8" s="85" t="s">
        <v>17</v>
      </c>
      <c r="C8" s="85" t="s">
        <v>59</v>
      </c>
      <c r="D8" s="85" t="s">
        <v>55</v>
      </c>
      <c r="E8" s="86">
        <v>3000</v>
      </c>
      <c r="F8" s="86">
        <v>15868.79</v>
      </c>
      <c r="G8" s="111">
        <v>5.2896000000000001</v>
      </c>
      <c r="H8" s="85" t="s">
        <v>60</v>
      </c>
      <c r="I8" s="87" t="s">
        <v>61</v>
      </c>
      <c r="J8" s="34"/>
    </row>
    <row r="9" spans="1:10" x14ac:dyDescent="0.2">
      <c r="A9" s="84" t="s">
        <v>64</v>
      </c>
      <c r="B9" s="85" t="s">
        <v>17</v>
      </c>
      <c r="C9" s="85" t="s">
        <v>59</v>
      </c>
      <c r="D9" s="85" t="s">
        <v>55</v>
      </c>
      <c r="E9" s="86">
        <v>3000</v>
      </c>
      <c r="F9" s="86">
        <v>15789.96</v>
      </c>
      <c r="G9" s="111">
        <v>5.2633000000000001</v>
      </c>
      <c r="H9" s="85" t="s">
        <v>60</v>
      </c>
      <c r="I9" s="87" t="s">
        <v>61</v>
      </c>
      <c r="J9" s="34"/>
    </row>
    <row r="10" spans="1:10" x14ac:dyDescent="0.2">
      <c r="A10" s="84" t="s">
        <v>65</v>
      </c>
      <c r="B10" s="85" t="s">
        <v>17</v>
      </c>
      <c r="C10" s="85" t="s">
        <v>59</v>
      </c>
      <c r="D10" s="85" t="s">
        <v>55</v>
      </c>
      <c r="E10" s="86">
        <v>3000</v>
      </c>
      <c r="F10" s="86">
        <v>16024.35</v>
      </c>
      <c r="G10" s="111">
        <v>5.3414000000000001</v>
      </c>
      <c r="H10" s="85" t="s">
        <v>60</v>
      </c>
      <c r="I10" s="87" t="s">
        <v>61</v>
      </c>
      <c r="J10" s="34"/>
    </row>
    <row r="11" spans="1:10" x14ac:dyDescent="0.2">
      <c r="A11" s="84" t="s">
        <v>66</v>
      </c>
      <c r="B11" s="85" t="s">
        <v>17</v>
      </c>
      <c r="C11" s="85" t="s">
        <v>59</v>
      </c>
      <c r="D11" s="85" t="s">
        <v>55</v>
      </c>
      <c r="E11" s="86">
        <v>3000</v>
      </c>
      <c r="F11" s="86">
        <v>15877.18</v>
      </c>
      <c r="G11" s="111">
        <v>5.2923999999999998</v>
      </c>
      <c r="H11" s="85" t="s">
        <v>60</v>
      </c>
      <c r="I11" s="87" t="s">
        <v>61</v>
      </c>
      <c r="J11" s="34"/>
    </row>
    <row r="12" spans="1:10" x14ac:dyDescent="0.2">
      <c r="A12" s="84" t="s">
        <v>67</v>
      </c>
      <c r="B12" s="85" t="s">
        <v>17</v>
      </c>
      <c r="C12" s="85" t="s">
        <v>59</v>
      </c>
      <c r="D12" s="85" t="s">
        <v>55</v>
      </c>
      <c r="E12" s="86">
        <v>3000</v>
      </c>
      <c r="F12" s="86">
        <v>15963.15</v>
      </c>
      <c r="G12" s="111">
        <v>5.3211000000000004</v>
      </c>
      <c r="H12" s="85" t="s">
        <v>60</v>
      </c>
      <c r="I12" s="87" t="s">
        <v>61</v>
      </c>
      <c r="J12" s="34"/>
    </row>
    <row r="13" spans="1:10" x14ac:dyDescent="0.2">
      <c r="A13" s="84" t="s">
        <v>68</v>
      </c>
      <c r="B13" s="85" t="s">
        <v>17</v>
      </c>
      <c r="C13" s="85" t="s">
        <v>59</v>
      </c>
      <c r="D13" s="85" t="s">
        <v>55</v>
      </c>
      <c r="E13" s="86">
        <v>3000</v>
      </c>
      <c r="F13" s="86">
        <v>15878.08</v>
      </c>
      <c r="G13" s="111">
        <v>5.2927</v>
      </c>
      <c r="H13" s="85" t="s">
        <v>60</v>
      </c>
      <c r="I13" s="87" t="s">
        <v>61</v>
      </c>
      <c r="J13" s="34"/>
    </row>
    <row r="14" spans="1:10" x14ac:dyDescent="0.2">
      <c r="A14" s="84" t="s">
        <v>69</v>
      </c>
      <c r="B14" s="85" t="s">
        <v>53</v>
      </c>
      <c r="C14" s="85" t="s">
        <v>54</v>
      </c>
      <c r="D14" s="85" t="s">
        <v>55</v>
      </c>
      <c r="E14" s="86">
        <v>100</v>
      </c>
      <c r="F14" s="86">
        <v>503.62</v>
      </c>
      <c r="G14" s="111">
        <v>5.0362</v>
      </c>
      <c r="H14" s="85" t="s">
        <v>56</v>
      </c>
      <c r="I14" s="87" t="s">
        <v>57</v>
      </c>
      <c r="J14" s="34"/>
    </row>
    <row r="15" spans="1:10" x14ac:dyDescent="0.2">
      <c r="A15" s="84" t="s">
        <v>70</v>
      </c>
      <c r="B15" s="85" t="s">
        <v>17</v>
      </c>
      <c r="C15" s="85" t="s">
        <v>59</v>
      </c>
      <c r="D15" s="85" t="s">
        <v>55</v>
      </c>
      <c r="E15" s="86">
        <v>3000</v>
      </c>
      <c r="F15" s="86">
        <v>15132.89</v>
      </c>
      <c r="G15" s="111">
        <v>5.0442999999999998</v>
      </c>
      <c r="H15" s="85" t="s">
        <v>60</v>
      </c>
      <c r="I15" s="87" t="s">
        <v>61</v>
      </c>
      <c r="J15" s="34"/>
    </row>
    <row r="16" spans="1:10" x14ac:dyDescent="0.2">
      <c r="A16" s="84" t="s">
        <v>70</v>
      </c>
      <c r="B16" s="85" t="s">
        <v>9</v>
      </c>
      <c r="C16" s="85" t="s">
        <v>59</v>
      </c>
      <c r="D16" s="85" t="s">
        <v>55</v>
      </c>
      <c r="E16" s="86">
        <v>5000</v>
      </c>
      <c r="F16" s="86">
        <v>24939.84</v>
      </c>
      <c r="G16" s="111">
        <v>4.9880000000000004</v>
      </c>
      <c r="H16" s="85" t="s">
        <v>60</v>
      </c>
      <c r="I16" s="87" t="s">
        <v>71</v>
      </c>
      <c r="J16" s="34"/>
    </row>
    <row r="17" spans="1:10" x14ac:dyDescent="0.2">
      <c r="A17" s="84" t="s">
        <v>72</v>
      </c>
      <c r="B17" s="85" t="s">
        <v>9</v>
      </c>
      <c r="C17" s="85" t="s">
        <v>59</v>
      </c>
      <c r="D17" s="85" t="s">
        <v>55</v>
      </c>
      <c r="E17" s="86">
        <v>15000</v>
      </c>
      <c r="F17" s="86">
        <v>74340.399999999994</v>
      </c>
      <c r="G17" s="111">
        <v>4.9560000000000004</v>
      </c>
      <c r="H17" s="85" t="s">
        <v>60</v>
      </c>
      <c r="I17" s="87" t="s">
        <v>71</v>
      </c>
      <c r="J17" s="34"/>
    </row>
    <row r="18" spans="1:10" x14ac:dyDescent="0.2">
      <c r="A18" s="84" t="s">
        <v>73</v>
      </c>
      <c r="B18" s="85" t="s">
        <v>17</v>
      </c>
      <c r="C18" s="85" t="s">
        <v>59</v>
      </c>
      <c r="D18" s="85" t="s">
        <v>55</v>
      </c>
      <c r="E18" s="86">
        <v>500</v>
      </c>
      <c r="F18" s="86">
        <v>2577.87</v>
      </c>
      <c r="G18" s="111">
        <v>5.1558000000000002</v>
      </c>
      <c r="H18" s="85" t="s">
        <v>60</v>
      </c>
      <c r="I18" s="87" t="s">
        <v>61</v>
      </c>
      <c r="J18" s="34"/>
    </row>
    <row r="19" spans="1:10" x14ac:dyDescent="0.2">
      <c r="A19" s="84" t="s">
        <v>73</v>
      </c>
      <c r="B19" s="85" t="s">
        <v>74</v>
      </c>
      <c r="C19" s="85" t="s">
        <v>75</v>
      </c>
      <c r="D19" s="85" t="s">
        <v>55</v>
      </c>
      <c r="E19" s="86">
        <v>250</v>
      </c>
      <c r="F19" s="86">
        <v>1246.27</v>
      </c>
      <c r="G19" s="111">
        <v>4.9851000000000001</v>
      </c>
      <c r="H19" s="85" t="s">
        <v>60</v>
      </c>
      <c r="I19" s="87" t="s">
        <v>76</v>
      </c>
      <c r="J19" s="34"/>
    </row>
    <row r="20" spans="1:10" x14ac:dyDescent="0.2">
      <c r="A20" s="84" t="s">
        <v>77</v>
      </c>
      <c r="B20" s="85" t="s">
        <v>17</v>
      </c>
      <c r="C20" s="85" t="s">
        <v>59</v>
      </c>
      <c r="D20" s="85" t="s">
        <v>55</v>
      </c>
      <c r="E20" s="86">
        <v>200</v>
      </c>
      <c r="F20" s="86">
        <v>1019.15</v>
      </c>
      <c r="G20" s="111">
        <v>5.0957999999999997</v>
      </c>
      <c r="H20" s="85" t="s">
        <v>60</v>
      </c>
      <c r="I20" s="87" t="s">
        <v>61</v>
      </c>
      <c r="J20" s="34"/>
    </row>
    <row r="21" spans="1:10" x14ac:dyDescent="0.2">
      <c r="A21" s="84" t="s">
        <v>77</v>
      </c>
      <c r="B21" s="85" t="s">
        <v>74</v>
      </c>
      <c r="C21" s="85" t="s">
        <v>54</v>
      </c>
      <c r="D21" s="85" t="s">
        <v>55</v>
      </c>
      <c r="E21" s="86">
        <v>3834.82</v>
      </c>
      <c r="F21" s="86">
        <v>19195.810000000001</v>
      </c>
      <c r="G21" s="111">
        <v>5.0056000000000003</v>
      </c>
      <c r="H21" s="85" t="s">
        <v>56</v>
      </c>
      <c r="I21" s="87" t="s">
        <v>78</v>
      </c>
      <c r="J21" s="34"/>
    </row>
    <row r="22" spans="1:10" x14ac:dyDescent="0.2">
      <c r="A22" s="84" t="s">
        <v>79</v>
      </c>
      <c r="B22" s="85" t="s">
        <v>53</v>
      </c>
      <c r="C22" s="85" t="s">
        <v>54</v>
      </c>
      <c r="D22" s="85" t="s">
        <v>55</v>
      </c>
      <c r="E22" s="86">
        <v>1000</v>
      </c>
      <c r="F22" s="86">
        <v>5114.8500000000004</v>
      </c>
      <c r="G22" s="111">
        <v>5.1148999999999996</v>
      </c>
      <c r="H22" s="85" t="s">
        <v>56</v>
      </c>
      <c r="I22" s="87" t="s">
        <v>57</v>
      </c>
      <c r="J22" s="34"/>
    </row>
    <row r="23" spans="1:10" x14ac:dyDescent="0.2">
      <c r="A23" s="84" t="s">
        <v>80</v>
      </c>
      <c r="B23" s="85" t="s">
        <v>53</v>
      </c>
      <c r="C23" s="85" t="s">
        <v>54</v>
      </c>
      <c r="D23" s="85" t="s">
        <v>55</v>
      </c>
      <c r="E23" s="86">
        <v>6212.32</v>
      </c>
      <c r="F23" s="86">
        <v>31651.83</v>
      </c>
      <c r="G23" s="111">
        <v>5.0949</v>
      </c>
      <c r="H23" s="85" t="s">
        <v>56</v>
      </c>
      <c r="I23" s="87" t="s">
        <v>57</v>
      </c>
      <c r="J23" s="34"/>
    </row>
    <row r="24" spans="1:10" x14ac:dyDescent="0.2">
      <c r="A24" s="84" t="s">
        <v>81</v>
      </c>
      <c r="B24" s="85" t="s">
        <v>53</v>
      </c>
      <c r="C24" s="85" t="s">
        <v>82</v>
      </c>
      <c r="D24" s="85" t="s">
        <v>83</v>
      </c>
      <c r="E24" s="86">
        <v>0</v>
      </c>
      <c r="F24" s="86">
        <v>45000</v>
      </c>
      <c r="G24" s="111"/>
      <c r="H24" s="85" t="s">
        <v>84</v>
      </c>
      <c r="I24" s="87" t="s">
        <v>85</v>
      </c>
      <c r="J24" s="34"/>
    </row>
    <row r="25" spans="1:10" x14ac:dyDescent="0.2">
      <c r="A25" s="84" t="s">
        <v>86</v>
      </c>
      <c r="B25" s="85" t="s">
        <v>17</v>
      </c>
      <c r="C25" s="85" t="s">
        <v>59</v>
      </c>
      <c r="D25" s="85" t="s">
        <v>55</v>
      </c>
      <c r="E25" s="86">
        <v>10000</v>
      </c>
      <c r="F25" s="86">
        <v>51027.68</v>
      </c>
      <c r="G25" s="111">
        <v>5.1028000000000002</v>
      </c>
      <c r="H25" s="85" t="s">
        <v>60</v>
      </c>
      <c r="I25" s="87" t="s">
        <v>61</v>
      </c>
      <c r="J25" s="34"/>
    </row>
    <row r="26" spans="1:10" x14ac:dyDescent="0.2">
      <c r="A26" s="84" t="s">
        <v>87</v>
      </c>
      <c r="B26" s="85" t="s">
        <v>17</v>
      </c>
      <c r="C26" s="85" t="s">
        <v>59</v>
      </c>
      <c r="D26" s="85" t="s">
        <v>55</v>
      </c>
      <c r="E26" s="86">
        <v>5000</v>
      </c>
      <c r="F26" s="86">
        <v>25650.76</v>
      </c>
      <c r="G26" s="111">
        <v>5.1302000000000003</v>
      </c>
      <c r="H26" s="85" t="s">
        <v>60</v>
      </c>
      <c r="I26" s="87" t="s">
        <v>61</v>
      </c>
      <c r="J26" s="34"/>
    </row>
    <row r="27" spans="1:10" x14ac:dyDescent="0.2">
      <c r="A27" s="84" t="s">
        <v>87</v>
      </c>
      <c r="B27" s="85" t="s">
        <v>53</v>
      </c>
      <c r="C27" s="85" t="s">
        <v>54</v>
      </c>
      <c r="D27" s="85" t="s">
        <v>55</v>
      </c>
      <c r="E27" s="86">
        <v>20000</v>
      </c>
      <c r="F27" s="86">
        <v>101772.38</v>
      </c>
      <c r="G27" s="111">
        <v>5.0885999999999996</v>
      </c>
      <c r="H27" s="85" t="s">
        <v>56</v>
      </c>
      <c r="I27" s="87" t="s">
        <v>57</v>
      </c>
      <c r="J27" s="34"/>
    </row>
    <row r="28" spans="1:10" x14ac:dyDescent="0.2">
      <c r="A28" s="84" t="s">
        <v>88</v>
      </c>
      <c r="B28" s="85" t="s">
        <v>74</v>
      </c>
      <c r="C28" s="85" t="s">
        <v>75</v>
      </c>
      <c r="D28" s="85" t="s">
        <v>55</v>
      </c>
      <c r="E28" s="86">
        <v>100</v>
      </c>
      <c r="F28" s="86">
        <v>514.21</v>
      </c>
      <c r="G28" s="111">
        <v>5.1421000000000001</v>
      </c>
      <c r="H28" s="85" t="s">
        <v>60</v>
      </c>
      <c r="I28" s="87" t="s">
        <v>76</v>
      </c>
      <c r="J28" s="34"/>
    </row>
    <row r="29" spans="1:10" x14ac:dyDescent="0.2">
      <c r="A29" s="84" t="s">
        <v>88</v>
      </c>
      <c r="B29" s="85" t="s">
        <v>53</v>
      </c>
      <c r="C29" s="85" t="s">
        <v>82</v>
      </c>
      <c r="D29" s="85" t="s">
        <v>83</v>
      </c>
      <c r="E29" s="86">
        <v>0</v>
      </c>
      <c r="F29" s="86">
        <v>78323.92</v>
      </c>
      <c r="G29" s="111"/>
      <c r="H29" s="85" t="s">
        <v>84</v>
      </c>
      <c r="I29" s="87" t="s">
        <v>85</v>
      </c>
      <c r="J29" s="34"/>
    </row>
    <row r="30" spans="1:10" x14ac:dyDescent="0.2">
      <c r="A30" s="84" t="s">
        <v>88</v>
      </c>
      <c r="B30" s="85" t="s">
        <v>17</v>
      </c>
      <c r="C30" s="85" t="s">
        <v>89</v>
      </c>
      <c r="D30" s="85" t="s">
        <v>83</v>
      </c>
      <c r="E30" s="86">
        <v>0</v>
      </c>
      <c r="F30" s="86">
        <v>73857</v>
      </c>
      <c r="G30" s="111"/>
      <c r="H30" s="85" t="s">
        <v>90</v>
      </c>
      <c r="I30" s="87" t="s">
        <v>91</v>
      </c>
      <c r="J30" s="34"/>
    </row>
    <row r="31" spans="1:10" x14ac:dyDescent="0.2">
      <c r="A31" s="84" t="s">
        <v>92</v>
      </c>
      <c r="B31" s="85" t="s">
        <v>93</v>
      </c>
      <c r="C31" s="85" t="s">
        <v>94</v>
      </c>
      <c r="D31" s="85" t="s">
        <v>83</v>
      </c>
      <c r="E31" s="86">
        <v>0</v>
      </c>
      <c r="F31" s="86">
        <v>25000</v>
      </c>
      <c r="G31" s="111"/>
      <c r="H31" s="85" t="s">
        <v>90</v>
      </c>
      <c r="I31" s="87" t="s">
        <v>95</v>
      </c>
      <c r="J31" s="34"/>
    </row>
    <row r="32" spans="1:10" x14ac:dyDescent="0.2">
      <c r="A32" s="84" t="s">
        <v>96</v>
      </c>
      <c r="B32" s="85" t="s">
        <v>53</v>
      </c>
      <c r="C32" s="85" t="s">
        <v>82</v>
      </c>
      <c r="D32" s="85" t="s">
        <v>83</v>
      </c>
      <c r="E32" s="86">
        <v>0</v>
      </c>
      <c r="F32" s="86">
        <v>52441.91</v>
      </c>
      <c r="G32" s="111"/>
      <c r="H32" s="85" t="s">
        <v>84</v>
      </c>
      <c r="I32" s="87" t="s">
        <v>85</v>
      </c>
      <c r="J32" s="34"/>
    </row>
    <row r="33" spans="1:10" x14ac:dyDescent="0.2">
      <c r="A33" s="84" t="s">
        <v>97</v>
      </c>
      <c r="B33" s="85" t="s">
        <v>17</v>
      </c>
      <c r="C33" s="85" t="s">
        <v>59</v>
      </c>
      <c r="D33" s="85" t="s">
        <v>55</v>
      </c>
      <c r="E33" s="86">
        <v>46229.38</v>
      </c>
      <c r="F33" s="86">
        <v>241545.87</v>
      </c>
      <c r="G33" s="111">
        <v>5.2244999999999999</v>
      </c>
      <c r="H33" s="85" t="s">
        <v>60</v>
      </c>
      <c r="I33" s="87" t="s">
        <v>61</v>
      </c>
      <c r="J33" s="34"/>
    </row>
    <row r="34" spans="1:10" x14ac:dyDescent="0.2">
      <c r="A34" s="84" t="s">
        <v>97</v>
      </c>
      <c r="B34" s="85" t="s">
        <v>74</v>
      </c>
      <c r="C34" s="85" t="s">
        <v>75</v>
      </c>
      <c r="D34" s="85" t="s">
        <v>55</v>
      </c>
      <c r="E34" s="86">
        <v>17000</v>
      </c>
      <c r="F34" s="86">
        <v>87442.26</v>
      </c>
      <c r="G34" s="111">
        <v>5.1436000000000002</v>
      </c>
      <c r="H34" s="85" t="s">
        <v>60</v>
      </c>
      <c r="I34" s="87" t="s">
        <v>76</v>
      </c>
      <c r="J34" s="34"/>
    </row>
    <row r="35" spans="1:10" x14ac:dyDescent="0.2">
      <c r="A35" s="84" t="s">
        <v>97</v>
      </c>
      <c r="B35" s="85" t="s">
        <v>74</v>
      </c>
      <c r="C35" s="85" t="s">
        <v>54</v>
      </c>
      <c r="D35" s="85" t="s">
        <v>55</v>
      </c>
      <c r="E35" s="86">
        <v>7454.1</v>
      </c>
      <c r="F35" s="86">
        <v>38396.86</v>
      </c>
      <c r="G35" s="111">
        <v>5.1509999999999998</v>
      </c>
      <c r="H35" s="85" t="s">
        <v>56</v>
      </c>
      <c r="I35" s="87" t="s">
        <v>78</v>
      </c>
      <c r="J35" s="34"/>
    </row>
    <row r="36" spans="1:10" x14ac:dyDescent="0.2">
      <c r="A36" s="84" t="s">
        <v>98</v>
      </c>
      <c r="B36" s="85" t="s">
        <v>74</v>
      </c>
      <c r="C36" s="85" t="s">
        <v>54</v>
      </c>
      <c r="D36" s="85" t="s">
        <v>55</v>
      </c>
      <c r="E36" s="86">
        <v>3834.82</v>
      </c>
      <c r="F36" s="86">
        <v>19195.810000000001</v>
      </c>
      <c r="G36" s="111">
        <v>5.1783000000000001</v>
      </c>
      <c r="H36" s="85" t="s">
        <v>99</v>
      </c>
      <c r="I36" s="87" t="s">
        <v>100</v>
      </c>
      <c r="J36" s="34"/>
    </row>
    <row r="37" spans="1:10" x14ac:dyDescent="0.2">
      <c r="A37" s="51"/>
      <c r="B37" s="52"/>
      <c r="C37" s="52"/>
      <c r="D37" s="52"/>
      <c r="E37" s="52"/>
      <c r="F37" s="52"/>
      <c r="G37" s="52"/>
      <c r="H37" s="52"/>
      <c r="I37" s="53"/>
      <c r="J37" s="34"/>
    </row>
    <row r="38" spans="1:10" x14ac:dyDescent="0.2">
      <c r="A38" s="51"/>
      <c r="B38" s="52"/>
      <c r="C38" s="52"/>
      <c r="D38" s="52"/>
      <c r="E38" s="52"/>
      <c r="F38" s="52"/>
      <c r="G38" s="52"/>
      <c r="H38" s="52"/>
      <c r="I38" s="53"/>
      <c r="J38" s="34"/>
    </row>
    <row r="39" spans="1:10" x14ac:dyDescent="0.2">
      <c r="A39" s="112" t="s">
        <v>101</v>
      </c>
      <c r="B39" s="52"/>
      <c r="C39" s="52"/>
      <c r="D39" s="52"/>
      <c r="E39" s="52"/>
      <c r="F39" s="52"/>
      <c r="G39" s="52"/>
      <c r="H39" s="52"/>
      <c r="I39" s="53"/>
      <c r="J39" s="34"/>
    </row>
    <row r="40" spans="1:10" x14ac:dyDescent="0.2">
      <c r="A40" s="113" t="s">
        <v>50</v>
      </c>
      <c r="B40" s="114" t="s">
        <v>102</v>
      </c>
      <c r="C40" s="114" t="s">
        <v>103</v>
      </c>
      <c r="D40" s="114" t="s">
        <v>104</v>
      </c>
      <c r="E40" s="114" t="s">
        <v>105</v>
      </c>
      <c r="F40" s="52"/>
      <c r="G40" s="52"/>
      <c r="H40" s="52"/>
      <c r="I40" s="53"/>
      <c r="J40" s="34"/>
    </row>
    <row r="41" spans="1:10" x14ac:dyDescent="0.2">
      <c r="A41" s="84" t="s">
        <v>60</v>
      </c>
      <c r="B41" s="85">
        <f>COUNTIF(H5:H36,"Outbound")</f>
        <v>19</v>
      </c>
      <c r="C41" s="86">
        <f>SUMIFS(F5:F36,H5:H36,"Outbound")</f>
        <v>652788.61</v>
      </c>
      <c r="D41" s="86">
        <f>SUMIFS(E5:E36,H5:H36,"Outbound")</f>
        <v>126279.38</v>
      </c>
      <c r="E41" s="111">
        <f>IFERROR(SUMIFS(F5:F36,H5:H36,"Outbound")/SUMIFS(E5:E36,H5:H36,"Outbound"),"")</f>
        <v>5.1693998655995932</v>
      </c>
      <c r="F41" s="52"/>
      <c r="G41" s="52"/>
      <c r="H41" s="52"/>
      <c r="I41" s="53"/>
      <c r="J41" s="34"/>
    </row>
    <row r="42" spans="1:10" x14ac:dyDescent="0.2">
      <c r="A42" s="84" t="s">
        <v>56</v>
      </c>
      <c r="B42" s="85">
        <f>COUNTIF(H5:H36,"IB Deposit")</f>
        <v>7</v>
      </c>
      <c r="C42" s="86">
        <f>SUMIFS(F5:F36,H5:H36,"IB Deposit")</f>
        <v>197706.57</v>
      </c>
      <c r="D42" s="86">
        <f>SUMIFS(E5:E36,H5:H36,"IB Deposit")</f>
        <v>38801.24</v>
      </c>
      <c r="E42" s="111">
        <f>IFERROR(SUMIFS(F5:F36,H5:H36,"IB Deposit")/SUMIFS(E5:E36,H5:H36,"IB Deposit"),"")</f>
        <v>5.0953673130033996</v>
      </c>
      <c r="F42" s="52"/>
      <c r="G42" s="52"/>
      <c r="H42" s="52"/>
      <c r="I42" s="53"/>
      <c r="J42" s="34"/>
    </row>
    <row r="43" spans="1:10" x14ac:dyDescent="0.2">
      <c r="A43" s="84" t="s">
        <v>99</v>
      </c>
      <c r="B43" s="85">
        <f>COUNTIF(H5:H36,"IB Withdraw")</f>
        <v>1</v>
      </c>
      <c r="C43" s="86">
        <f>SUMIFS(F5:F36,H5:H36,"IB Withdraw")</f>
        <v>19195.810000000001</v>
      </c>
      <c r="D43" s="86">
        <f>SUMIFS(E5:E36,H5:H36,"IB Withdraw")</f>
        <v>3834.82</v>
      </c>
      <c r="E43" s="111">
        <f>IFERROR(SUMIFS(F5:F36,H5:H36,"IB Withdraw")/SUMIFS(E5:E36,H5:H36,"IB Withdraw"),"")</f>
        <v>5.0056612826677656</v>
      </c>
      <c r="F43" s="52"/>
      <c r="G43" s="52"/>
      <c r="H43" s="52"/>
      <c r="I43" s="53"/>
      <c r="J43" s="34"/>
    </row>
    <row r="44" spans="1:10" x14ac:dyDescent="0.2">
      <c r="A44" s="84" t="s">
        <v>84</v>
      </c>
      <c r="B44" s="85">
        <f>COUNTIF(H5:H36,"Fund Deposit")</f>
        <v>3</v>
      </c>
      <c r="C44" s="86">
        <f>SUMIFS(F5:F36,H5:H36,"Fund Deposit")</f>
        <v>175765.83000000002</v>
      </c>
      <c r="D44" s="86">
        <f>SUMIFS(E5:E36,H5:H36,"Fund Deposit")</f>
        <v>0</v>
      </c>
      <c r="E44" s="52"/>
      <c r="F44" s="52"/>
      <c r="G44" s="52"/>
      <c r="H44" s="52"/>
      <c r="I44" s="53"/>
      <c r="J44" s="34"/>
    </row>
    <row r="45" spans="1:10" x14ac:dyDescent="0.2">
      <c r="A45" s="84" t="s">
        <v>90</v>
      </c>
      <c r="B45" s="85">
        <f>COUNTIF(H5:H36,"Inbound")</f>
        <v>2</v>
      </c>
      <c r="C45" s="86">
        <f>SUMIFS(F5:F36,H5:H36,"Inbound")</f>
        <v>98857</v>
      </c>
      <c r="D45" s="86">
        <f>SUMIFS(E5:E36,H5:H36,"Inbound")</f>
        <v>0</v>
      </c>
      <c r="E45" s="52"/>
      <c r="F45" s="52"/>
      <c r="G45" s="52"/>
      <c r="H45" s="52"/>
      <c r="I45" s="53"/>
      <c r="J45" s="34"/>
    </row>
    <row r="46" spans="1:10" x14ac:dyDescent="0.2">
      <c r="A46" s="34"/>
      <c r="B46" s="34"/>
      <c r="C46" s="34"/>
      <c r="D46" s="34"/>
      <c r="E46" s="34"/>
      <c r="F46" s="34"/>
      <c r="G46" s="34"/>
      <c r="H46" s="34"/>
      <c r="I46" s="34"/>
      <c r="J46" s="3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6600"/>
  </sheetPr>
  <dimension ref="A1:H70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5" customWidth="1"/>
    <col min="2" max="2" width="13" customWidth="1"/>
    <col min="3" max="3" width="10" customWidth="1"/>
    <col min="4" max="4" width="42" customWidth="1"/>
    <col min="5" max="5" width="14" customWidth="1"/>
    <col min="6" max="6" width="18" customWidth="1"/>
    <col min="7" max="7" width="12" customWidth="1"/>
  </cols>
  <sheetData>
    <row r="1" spans="1:8" ht="16" x14ac:dyDescent="0.2">
      <c r="A1" s="65" t="s">
        <v>106</v>
      </c>
      <c r="B1" s="66"/>
      <c r="C1" s="66"/>
      <c r="D1" s="66"/>
      <c r="E1" s="66"/>
      <c r="F1" s="66"/>
      <c r="G1" s="66"/>
      <c r="H1" s="34"/>
    </row>
    <row r="2" spans="1:8" x14ac:dyDescent="0.2">
      <c r="A2" s="67" t="s">
        <v>107</v>
      </c>
      <c r="B2" s="36"/>
      <c r="C2" s="36"/>
      <c r="D2" s="36"/>
      <c r="E2" s="36"/>
      <c r="F2" s="36"/>
      <c r="G2" s="36"/>
      <c r="H2" s="34"/>
    </row>
    <row r="3" spans="1:8" x14ac:dyDescent="0.2">
      <c r="A3" s="35"/>
      <c r="B3" s="35"/>
      <c r="C3" s="35"/>
      <c r="D3" s="35"/>
      <c r="E3" s="35"/>
      <c r="F3" s="35"/>
      <c r="G3" s="35"/>
      <c r="H3" s="34"/>
    </row>
    <row r="4" spans="1:8" ht="16" thickBot="1" x14ac:dyDescent="0.25">
      <c r="A4" s="78" t="s">
        <v>108</v>
      </c>
      <c r="B4" s="77" t="s">
        <v>44</v>
      </c>
      <c r="C4" s="77" t="s">
        <v>109</v>
      </c>
      <c r="D4" s="77" t="s">
        <v>110</v>
      </c>
      <c r="E4" s="77" t="s">
        <v>111</v>
      </c>
      <c r="F4" s="77" t="s">
        <v>112</v>
      </c>
      <c r="G4" s="79" t="s">
        <v>113</v>
      </c>
      <c r="H4" s="34"/>
    </row>
    <row r="5" spans="1:8" x14ac:dyDescent="0.2">
      <c r="A5" s="80">
        <v>1</v>
      </c>
      <c r="B5" s="81" t="s">
        <v>114</v>
      </c>
      <c r="C5" s="81" t="s">
        <v>115</v>
      </c>
      <c r="D5" s="81" t="s">
        <v>116</v>
      </c>
      <c r="E5" s="115">
        <v>-173.79</v>
      </c>
      <c r="F5" s="81" t="s">
        <v>117</v>
      </c>
      <c r="G5" s="116" t="s">
        <v>118</v>
      </c>
      <c r="H5" s="34"/>
    </row>
    <row r="6" spans="1:8" x14ac:dyDescent="0.2">
      <c r="A6" s="84">
        <v>2</v>
      </c>
      <c r="B6" s="85" t="s">
        <v>119</v>
      </c>
      <c r="C6" s="85" t="s">
        <v>115</v>
      </c>
      <c r="D6" s="85" t="s">
        <v>120</v>
      </c>
      <c r="E6" s="117">
        <v>-111.58</v>
      </c>
      <c r="F6" s="85" t="s">
        <v>121</v>
      </c>
      <c r="G6" s="118" t="s">
        <v>122</v>
      </c>
      <c r="H6" s="34"/>
    </row>
    <row r="7" spans="1:8" x14ac:dyDescent="0.2">
      <c r="A7" s="84">
        <v>3</v>
      </c>
      <c r="B7" s="85" t="s">
        <v>119</v>
      </c>
      <c r="C7" s="85" t="s">
        <v>115</v>
      </c>
      <c r="D7" s="85" t="s">
        <v>123</v>
      </c>
      <c r="E7" s="117">
        <v>-21.9</v>
      </c>
      <c r="F7" s="85" t="s">
        <v>124</v>
      </c>
      <c r="G7" s="118" t="s">
        <v>118</v>
      </c>
      <c r="H7" s="34"/>
    </row>
    <row r="8" spans="1:8" x14ac:dyDescent="0.2">
      <c r="A8" s="84">
        <v>4</v>
      </c>
      <c r="B8" s="85" t="s">
        <v>125</v>
      </c>
      <c r="C8" s="85" t="s">
        <v>115</v>
      </c>
      <c r="D8" s="85" t="s">
        <v>126</v>
      </c>
      <c r="E8" s="117">
        <v>-111.6</v>
      </c>
      <c r="F8" s="85" t="s">
        <v>117</v>
      </c>
      <c r="G8" s="118" t="s">
        <v>118</v>
      </c>
      <c r="H8" s="34"/>
    </row>
    <row r="9" spans="1:8" x14ac:dyDescent="0.2">
      <c r="A9" s="84">
        <v>5</v>
      </c>
      <c r="B9" s="85" t="s">
        <v>125</v>
      </c>
      <c r="C9" s="85" t="s">
        <v>115</v>
      </c>
      <c r="D9" s="85" t="s">
        <v>123</v>
      </c>
      <c r="E9" s="117">
        <v>-19.899999999999999</v>
      </c>
      <c r="F9" s="85" t="s">
        <v>124</v>
      </c>
      <c r="G9" s="118" t="s">
        <v>118</v>
      </c>
      <c r="H9" s="34"/>
    </row>
    <row r="10" spans="1:8" x14ac:dyDescent="0.2">
      <c r="A10" s="84">
        <v>6</v>
      </c>
      <c r="B10" s="85" t="s">
        <v>127</v>
      </c>
      <c r="C10" s="85" t="s">
        <v>115</v>
      </c>
      <c r="D10" s="85" t="s">
        <v>128</v>
      </c>
      <c r="E10" s="117">
        <v>-25.79</v>
      </c>
      <c r="F10" s="85" t="s">
        <v>121</v>
      </c>
      <c r="G10" s="118" t="s">
        <v>122</v>
      </c>
      <c r="H10" s="34"/>
    </row>
    <row r="11" spans="1:8" x14ac:dyDescent="0.2">
      <c r="A11" s="84">
        <v>7</v>
      </c>
      <c r="B11" s="85" t="s">
        <v>129</v>
      </c>
      <c r="C11" s="85" t="s">
        <v>115</v>
      </c>
      <c r="D11" s="85" t="s">
        <v>130</v>
      </c>
      <c r="E11" s="117">
        <v>-235.52</v>
      </c>
      <c r="F11" s="85" t="s">
        <v>131</v>
      </c>
      <c r="G11" s="118" t="s">
        <v>118</v>
      </c>
      <c r="H11" s="34"/>
    </row>
    <row r="12" spans="1:8" x14ac:dyDescent="0.2">
      <c r="A12" s="84">
        <v>8</v>
      </c>
      <c r="B12" s="85" t="s">
        <v>132</v>
      </c>
      <c r="C12" s="85" t="s">
        <v>115</v>
      </c>
      <c r="D12" s="85" t="s">
        <v>133</v>
      </c>
      <c r="E12" s="117">
        <v>-143.6</v>
      </c>
      <c r="F12" s="85" t="s">
        <v>134</v>
      </c>
      <c r="G12" s="118" t="s">
        <v>122</v>
      </c>
      <c r="H12" s="34"/>
    </row>
    <row r="13" spans="1:8" x14ac:dyDescent="0.2">
      <c r="A13" s="84">
        <v>9</v>
      </c>
      <c r="B13" s="85" t="s">
        <v>132</v>
      </c>
      <c r="C13" s="85" t="s">
        <v>115</v>
      </c>
      <c r="D13" s="85" t="s">
        <v>135</v>
      </c>
      <c r="E13" s="117">
        <v>-191.8</v>
      </c>
      <c r="F13" s="85" t="s">
        <v>117</v>
      </c>
      <c r="G13" s="118" t="s">
        <v>122</v>
      </c>
      <c r="H13" s="34"/>
    </row>
    <row r="14" spans="1:8" x14ac:dyDescent="0.2">
      <c r="A14" s="84">
        <v>10</v>
      </c>
      <c r="B14" s="85" t="s">
        <v>136</v>
      </c>
      <c r="C14" s="85" t="s">
        <v>115</v>
      </c>
      <c r="D14" s="85" t="s">
        <v>120</v>
      </c>
      <c r="E14" s="117">
        <v>-111.37</v>
      </c>
      <c r="F14" s="85" t="s">
        <v>121</v>
      </c>
      <c r="G14" s="118" t="s">
        <v>122</v>
      </c>
      <c r="H14" s="34"/>
    </row>
    <row r="15" spans="1:8" x14ac:dyDescent="0.2">
      <c r="A15" s="84">
        <v>11</v>
      </c>
      <c r="B15" s="85" t="s">
        <v>136</v>
      </c>
      <c r="C15" s="85" t="s">
        <v>115</v>
      </c>
      <c r="D15" s="85" t="s">
        <v>137</v>
      </c>
      <c r="E15" s="117">
        <v>-111</v>
      </c>
      <c r="F15" s="85" t="s">
        <v>134</v>
      </c>
      <c r="G15" s="118" t="s">
        <v>122</v>
      </c>
      <c r="H15" s="34"/>
    </row>
    <row r="16" spans="1:8" x14ac:dyDescent="0.2">
      <c r="A16" s="84">
        <v>12</v>
      </c>
      <c r="B16" s="85" t="s">
        <v>138</v>
      </c>
      <c r="C16" s="85" t="s">
        <v>115</v>
      </c>
      <c r="D16" s="85" t="s">
        <v>139</v>
      </c>
      <c r="E16" s="117">
        <v>-111.11</v>
      </c>
      <c r="F16" s="85" t="s">
        <v>124</v>
      </c>
      <c r="G16" s="118" t="s">
        <v>122</v>
      </c>
      <c r="H16" s="34"/>
    </row>
    <row r="17" spans="1:8" x14ac:dyDescent="0.2">
      <c r="A17" s="84">
        <v>13</v>
      </c>
      <c r="B17" s="85" t="s">
        <v>140</v>
      </c>
      <c r="C17" s="85" t="s">
        <v>115</v>
      </c>
      <c r="D17" s="85" t="s">
        <v>141</v>
      </c>
      <c r="E17" s="117">
        <v>-1138.5</v>
      </c>
      <c r="F17" s="85" t="s">
        <v>121</v>
      </c>
      <c r="G17" s="118" t="s">
        <v>122</v>
      </c>
      <c r="H17" s="34"/>
    </row>
    <row r="18" spans="1:8" x14ac:dyDescent="0.2">
      <c r="A18" s="84">
        <v>14</v>
      </c>
      <c r="B18" s="85" t="s">
        <v>140</v>
      </c>
      <c r="C18" s="85" t="s">
        <v>115</v>
      </c>
      <c r="D18" s="85" t="s">
        <v>128</v>
      </c>
      <c r="E18" s="117">
        <v>-556.83000000000004</v>
      </c>
      <c r="F18" s="85" t="s">
        <v>121</v>
      </c>
      <c r="G18" s="118" t="s">
        <v>122</v>
      </c>
      <c r="H18" s="34"/>
    </row>
    <row r="19" spans="1:8" x14ac:dyDescent="0.2">
      <c r="A19" s="84">
        <v>15</v>
      </c>
      <c r="B19" s="85" t="s">
        <v>58</v>
      </c>
      <c r="C19" s="85" t="s">
        <v>115</v>
      </c>
      <c r="D19" s="85" t="s">
        <v>142</v>
      </c>
      <c r="E19" s="117">
        <v>-524.63</v>
      </c>
      <c r="F19" s="85" t="s">
        <v>143</v>
      </c>
      <c r="G19" s="118" t="s">
        <v>122</v>
      </c>
      <c r="H19" s="34"/>
    </row>
    <row r="20" spans="1:8" x14ac:dyDescent="0.2">
      <c r="A20" s="84">
        <v>16</v>
      </c>
      <c r="B20" s="85" t="s">
        <v>144</v>
      </c>
      <c r="C20" s="85" t="s">
        <v>115</v>
      </c>
      <c r="D20" s="85" t="s">
        <v>126</v>
      </c>
      <c r="E20" s="117">
        <v>-55.8</v>
      </c>
      <c r="F20" s="85" t="s">
        <v>117</v>
      </c>
      <c r="G20" s="118" t="s">
        <v>118</v>
      </c>
      <c r="H20" s="34"/>
    </row>
    <row r="21" spans="1:8" x14ac:dyDescent="0.2">
      <c r="A21" s="84">
        <v>17</v>
      </c>
      <c r="B21" s="85" t="s">
        <v>62</v>
      </c>
      <c r="C21" s="85" t="s">
        <v>115</v>
      </c>
      <c r="D21" s="85" t="s">
        <v>123</v>
      </c>
      <c r="E21" s="117">
        <v>-99.9</v>
      </c>
      <c r="F21" s="85" t="s">
        <v>124</v>
      </c>
      <c r="G21" s="118" t="s">
        <v>122</v>
      </c>
      <c r="H21" s="34"/>
    </row>
    <row r="22" spans="1:8" x14ac:dyDescent="0.2">
      <c r="A22" s="84">
        <v>18</v>
      </c>
      <c r="B22" s="85" t="s">
        <v>145</v>
      </c>
      <c r="C22" s="85" t="s">
        <v>115</v>
      </c>
      <c r="D22" s="85" t="s">
        <v>146</v>
      </c>
      <c r="E22" s="117">
        <v>-272.20999999999998</v>
      </c>
      <c r="F22" s="85" t="s">
        <v>143</v>
      </c>
      <c r="G22" s="118" t="s">
        <v>122</v>
      </c>
      <c r="H22" s="34"/>
    </row>
    <row r="23" spans="1:8" x14ac:dyDescent="0.2">
      <c r="A23" s="84">
        <v>19</v>
      </c>
      <c r="B23" s="85" t="s">
        <v>147</v>
      </c>
      <c r="C23" s="85" t="s">
        <v>115</v>
      </c>
      <c r="D23" s="85" t="s">
        <v>148</v>
      </c>
      <c r="E23" s="117">
        <v>-168</v>
      </c>
      <c r="F23" s="85" t="s">
        <v>134</v>
      </c>
      <c r="G23" s="118" t="s">
        <v>118</v>
      </c>
      <c r="H23" s="34"/>
    </row>
    <row r="24" spans="1:8" x14ac:dyDescent="0.2">
      <c r="A24" s="84">
        <v>20</v>
      </c>
      <c r="B24" s="85" t="s">
        <v>149</v>
      </c>
      <c r="C24" s="85" t="s">
        <v>115</v>
      </c>
      <c r="D24" s="85" t="s">
        <v>150</v>
      </c>
      <c r="E24" s="117">
        <v>-84</v>
      </c>
      <c r="F24" s="85" t="s">
        <v>134</v>
      </c>
      <c r="G24" s="118" t="s">
        <v>118</v>
      </c>
      <c r="H24" s="34"/>
    </row>
    <row r="25" spans="1:8" x14ac:dyDescent="0.2">
      <c r="A25" s="84">
        <v>21</v>
      </c>
      <c r="B25" s="85" t="s">
        <v>149</v>
      </c>
      <c r="C25" s="85" t="s">
        <v>151</v>
      </c>
      <c r="D25" s="85" t="s">
        <v>120</v>
      </c>
      <c r="E25" s="117">
        <v>-108.89</v>
      </c>
      <c r="F25" s="85" t="s">
        <v>121</v>
      </c>
      <c r="G25" s="118" t="s">
        <v>122</v>
      </c>
      <c r="H25" s="34"/>
    </row>
    <row r="26" spans="1:8" x14ac:dyDescent="0.2">
      <c r="A26" s="84">
        <v>22</v>
      </c>
      <c r="B26" s="85" t="s">
        <v>64</v>
      </c>
      <c r="C26" s="85" t="s">
        <v>151</v>
      </c>
      <c r="D26" s="85" t="s">
        <v>152</v>
      </c>
      <c r="E26" s="117">
        <v>-6282.36</v>
      </c>
      <c r="F26" s="85" t="s">
        <v>153</v>
      </c>
      <c r="G26" s="118" t="s">
        <v>118</v>
      </c>
      <c r="H26" s="34"/>
    </row>
    <row r="27" spans="1:8" x14ac:dyDescent="0.2">
      <c r="A27" s="84">
        <v>23</v>
      </c>
      <c r="B27" s="85" t="s">
        <v>154</v>
      </c>
      <c r="C27" s="85" t="s">
        <v>151</v>
      </c>
      <c r="D27" s="85" t="s">
        <v>155</v>
      </c>
      <c r="E27" s="117">
        <v>-51.75</v>
      </c>
      <c r="F27" s="85" t="s">
        <v>121</v>
      </c>
      <c r="G27" s="118" t="s">
        <v>122</v>
      </c>
      <c r="H27" s="34"/>
    </row>
    <row r="28" spans="1:8" x14ac:dyDescent="0.2">
      <c r="A28" s="84">
        <v>24</v>
      </c>
      <c r="B28" s="85" t="s">
        <v>154</v>
      </c>
      <c r="C28" s="85" t="s">
        <v>151</v>
      </c>
      <c r="D28" s="85" t="s">
        <v>156</v>
      </c>
      <c r="E28" s="117">
        <v>-206</v>
      </c>
      <c r="F28" s="85" t="s">
        <v>134</v>
      </c>
      <c r="G28" s="118" t="s">
        <v>122</v>
      </c>
      <c r="H28" s="34"/>
    </row>
    <row r="29" spans="1:8" x14ac:dyDescent="0.2">
      <c r="A29" s="84">
        <v>25</v>
      </c>
      <c r="B29" s="85" t="s">
        <v>157</v>
      </c>
      <c r="C29" s="85" t="s">
        <v>151</v>
      </c>
      <c r="D29" s="85" t="s">
        <v>158</v>
      </c>
      <c r="E29" s="117">
        <v>-235.52</v>
      </c>
      <c r="F29" s="85" t="s">
        <v>131</v>
      </c>
      <c r="G29" s="118" t="s">
        <v>122</v>
      </c>
      <c r="H29" s="34"/>
    </row>
    <row r="30" spans="1:8" x14ac:dyDescent="0.2">
      <c r="A30" s="84">
        <v>26</v>
      </c>
      <c r="B30" s="85" t="s">
        <v>159</v>
      </c>
      <c r="C30" s="85" t="s">
        <v>151</v>
      </c>
      <c r="D30" s="85" t="s">
        <v>120</v>
      </c>
      <c r="E30" s="117">
        <v>-108.27</v>
      </c>
      <c r="F30" s="85" t="s">
        <v>121</v>
      </c>
      <c r="G30" s="118" t="s">
        <v>122</v>
      </c>
      <c r="H30" s="34"/>
    </row>
    <row r="31" spans="1:8" x14ac:dyDescent="0.2">
      <c r="A31" s="84">
        <v>27</v>
      </c>
      <c r="B31" s="85" t="s">
        <v>160</v>
      </c>
      <c r="C31" s="85" t="s">
        <v>151</v>
      </c>
      <c r="D31" s="85" t="s">
        <v>128</v>
      </c>
      <c r="E31" s="117">
        <v>-538.20000000000005</v>
      </c>
      <c r="F31" s="85" t="s">
        <v>121</v>
      </c>
      <c r="G31" s="118" t="s">
        <v>122</v>
      </c>
      <c r="H31" s="34"/>
    </row>
    <row r="32" spans="1:8" x14ac:dyDescent="0.2">
      <c r="A32" s="84">
        <v>28</v>
      </c>
      <c r="B32" s="85" t="s">
        <v>161</v>
      </c>
      <c r="C32" s="85" t="s">
        <v>162</v>
      </c>
      <c r="D32" s="85" t="s">
        <v>120</v>
      </c>
      <c r="E32" s="117">
        <v>-108.47</v>
      </c>
      <c r="F32" s="85" t="s">
        <v>121</v>
      </c>
      <c r="G32" s="118" t="s">
        <v>122</v>
      </c>
      <c r="H32" s="34"/>
    </row>
    <row r="33" spans="1:8" x14ac:dyDescent="0.2">
      <c r="A33" s="84">
        <v>29</v>
      </c>
      <c r="B33" s="85" t="s">
        <v>163</v>
      </c>
      <c r="C33" s="85" t="s">
        <v>162</v>
      </c>
      <c r="D33" s="85" t="s">
        <v>164</v>
      </c>
      <c r="E33" s="117">
        <v>-453.64</v>
      </c>
      <c r="F33" s="85" t="s">
        <v>153</v>
      </c>
      <c r="G33" s="118" t="s">
        <v>118</v>
      </c>
      <c r="H33" s="34"/>
    </row>
    <row r="34" spans="1:8" x14ac:dyDescent="0.2">
      <c r="A34" s="84">
        <v>30</v>
      </c>
      <c r="B34" s="85" t="s">
        <v>163</v>
      </c>
      <c r="C34" s="85" t="s">
        <v>162</v>
      </c>
      <c r="D34" s="85" t="s">
        <v>165</v>
      </c>
      <c r="E34" s="117">
        <v>-54.76</v>
      </c>
      <c r="F34" s="85" t="s">
        <v>121</v>
      </c>
      <c r="G34" s="118" t="s">
        <v>122</v>
      </c>
      <c r="H34" s="34"/>
    </row>
    <row r="35" spans="1:8" x14ac:dyDescent="0.2">
      <c r="A35" s="84">
        <v>31</v>
      </c>
      <c r="B35" s="85" t="s">
        <v>166</v>
      </c>
      <c r="C35" s="85" t="s">
        <v>162</v>
      </c>
      <c r="D35" s="85" t="s">
        <v>167</v>
      </c>
      <c r="E35" s="117">
        <v>-9036.83</v>
      </c>
      <c r="F35" s="85" t="s">
        <v>168</v>
      </c>
      <c r="G35" s="118" t="s">
        <v>122</v>
      </c>
      <c r="H35" s="34"/>
    </row>
    <row r="36" spans="1:8" x14ac:dyDescent="0.2">
      <c r="A36" s="84">
        <v>32</v>
      </c>
      <c r="B36" s="85" t="s">
        <v>166</v>
      </c>
      <c r="C36" s="85" t="s">
        <v>162</v>
      </c>
      <c r="D36" s="85" t="s">
        <v>169</v>
      </c>
      <c r="E36" s="117">
        <v>-113.78</v>
      </c>
      <c r="F36" s="85" t="s">
        <v>143</v>
      </c>
      <c r="G36" s="118" t="s">
        <v>122</v>
      </c>
      <c r="H36" s="34"/>
    </row>
    <row r="37" spans="1:8" x14ac:dyDescent="0.2">
      <c r="A37" s="84">
        <v>33</v>
      </c>
      <c r="B37" s="85" t="s">
        <v>170</v>
      </c>
      <c r="C37" s="85" t="s">
        <v>162</v>
      </c>
      <c r="D37" s="85" t="s">
        <v>171</v>
      </c>
      <c r="E37" s="117">
        <v>-235.52</v>
      </c>
      <c r="F37" s="85" t="s">
        <v>131</v>
      </c>
      <c r="G37" s="118" t="s">
        <v>122</v>
      </c>
      <c r="H37" s="34"/>
    </row>
    <row r="38" spans="1:8" x14ac:dyDescent="0.2">
      <c r="A38" s="84">
        <v>34</v>
      </c>
      <c r="B38" s="85" t="s">
        <v>172</v>
      </c>
      <c r="C38" s="85" t="s">
        <v>162</v>
      </c>
      <c r="D38" s="85" t="s">
        <v>120</v>
      </c>
      <c r="E38" s="117">
        <v>-108.89</v>
      </c>
      <c r="F38" s="85" t="s">
        <v>121</v>
      </c>
      <c r="G38" s="118" t="s">
        <v>122</v>
      </c>
      <c r="H38" s="34"/>
    </row>
    <row r="39" spans="1:8" x14ac:dyDescent="0.2">
      <c r="A39" s="84">
        <v>35</v>
      </c>
      <c r="B39" s="85" t="s">
        <v>173</v>
      </c>
      <c r="C39" s="85" t="s">
        <v>162</v>
      </c>
      <c r="D39" s="85" t="s">
        <v>128</v>
      </c>
      <c r="E39" s="117">
        <v>-546.48</v>
      </c>
      <c r="F39" s="85" t="s">
        <v>121</v>
      </c>
      <c r="G39" s="118" t="s">
        <v>122</v>
      </c>
      <c r="H39" s="34"/>
    </row>
    <row r="40" spans="1:8" x14ac:dyDescent="0.2">
      <c r="A40" s="84">
        <v>36</v>
      </c>
      <c r="B40" s="85" t="s">
        <v>174</v>
      </c>
      <c r="C40" s="85" t="s">
        <v>162</v>
      </c>
      <c r="D40" s="85" t="s">
        <v>175</v>
      </c>
      <c r="E40" s="117">
        <v>-81.36</v>
      </c>
      <c r="F40" s="85" t="s">
        <v>121</v>
      </c>
      <c r="G40" s="118" t="s">
        <v>122</v>
      </c>
      <c r="H40" s="34"/>
    </row>
    <row r="41" spans="1:8" x14ac:dyDescent="0.2">
      <c r="A41" s="84">
        <v>37</v>
      </c>
      <c r="B41" s="85" t="s">
        <v>176</v>
      </c>
      <c r="C41" s="85" t="s">
        <v>162</v>
      </c>
      <c r="D41" s="85" t="s">
        <v>177</v>
      </c>
      <c r="E41" s="117">
        <v>-111.81</v>
      </c>
      <c r="F41" s="85" t="s">
        <v>121</v>
      </c>
      <c r="G41" s="118" t="s">
        <v>122</v>
      </c>
      <c r="H41" s="34"/>
    </row>
    <row r="42" spans="1:8" x14ac:dyDescent="0.2">
      <c r="A42" s="84">
        <v>38</v>
      </c>
      <c r="B42" s="85" t="s">
        <v>178</v>
      </c>
      <c r="C42" s="85" t="s">
        <v>179</v>
      </c>
      <c r="D42" s="85" t="s">
        <v>120</v>
      </c>
      <c r="E42" s="117">
        <v>-107.02</v>
      </c>
      <c r="F42" s="85" t="s">
        <v>121</v>
      </c>
      <c r="G42" s="118" t="s">
        <v>122</v>
      </c>
      <c r="H42" s="34"/>
    </row>
    <row r="43" spans="1:8" x14ac:dyDescent="0.2">
      <c r="A43" s="84">
        <v>39</v>
      </c>
      <c r="B43" s="85" t="s">
        <v>180</v>
      </c>
      <c r="C43" s="85" t="s">
        <v>179</v>
      </c>
      <c r="D43" s="85" t="s">
        <v>120</v>
      </c>
      <c r="E43" s="117">
        <v>-103.5</v>
      </c>
      <c r="F43" s="85" t="s">
        <v>121</v>
      </c>
      <c r="G43" s="118" t="s">
        <v>122</v>
      </c>
      <c r="H43" s="34"/>
    </row>
    <row r="44" spans="1:8" x14ac:dyDescent="0.2">
      <c r="A44" s="84">
        <v>40</v>
      </c>
      <c r="B44" s="85" t="s">
        <v>181</v>
      </c>
      <c r="C44" s="85" t="s">
        <v>179</v>
      </c>
      <c r="D44" s="85" t="s">
        <v>182</v>
      </c>
      <c r="E44" s="117">
        <v>-509</v>
      </c>
      <c r="F44" s="85" t="s">
        <v>143</v>
      </c>
      <c r="G44" s="118" t="s">
        <v>118</v>
      </c>
      <c r="H44" s="34"/>
    </row>
    <row r="45" spans="1:8" x14ac:dyDescent="0.2">
      <c r="A45" s="84">
        <v>41</v>
      </c>
      <c r="B45" s="85" t="s">
        <v>183</v>
      </c>
      <c r="C45" s="85" t="s">
        <v>179</v>
      </c>
      <c r="D45" s="85" t="s">
        <v>128</v>
      </c>
      <c r="E45" s="117">
        <v>-515.42999999999995</v>
      </c>
      <c r="F45" s="85" t="s">
        <v>121</v>
      </c>
      <c r="G45" s="118" t="s">
        <v>122</v>
      </c>
      <c r="H45" s="34"/>
    </row>
    <row r="46" spans="1:8" x14ac:dyDescent="0.2">
      <c r="A46" s="84">
        <v>42</v>
      </c>
      <c r="B46" s="85" t="s">
        <v>184</v>
      </c>
      <c r="C46" s="85" t="s">
        <v>179</v>
      </c>
      <c r="D46" s="85" t="s">
        <v>185</v>
      </c>
      <c r="E46" s="117">
        <v>-107.61</v>
      </c>
      <c r="F46" s="85" t="s">
        <v>121</v>
      </c>
      <c r="G46" s="118" t="s">
        <v>122</v>
      </c>
      <c r="H46" s="34"/>
    </row>
    <row r="47" spans="1:8" x14ac:dyDescent="0.2">
      <c r="A47" s="84">
        <v>43</v>
      </c>
      <c r="B47" s="85" t="s">
        <v>186</v>
      </c>
      <c r="C47" s="85" t="s">
        <v>179</v>
      </c>
      <c r="D47" s="85" t="s">
        <v>187</v>
      </c>
      <c r="E47" s="117">
        <v>-103.71</v>
      </c>
      <c r="F47" s="85" t="s">
        <v>121</v>
      </c>
      <c r="G47" s="118" t="s">
        <v>122</v>
      </c>
      <c r="H47" s="34"/>
    </row>
    <row r="48" spans="1:8" x14ac:dyDescent="0.2">
      <c r="A48" s="84">
        <v>44</v>
      </c>
      <c r="B48" s="85" t="s">
        <v>188</v>
      </c>
      <c r="C48" s="85" t="s">
        <v>179</v>
      </c>
      <c r="D48" s="85" t="s">
        <v>177</v>
      </c>
      <c r="E48" s="117">
        <v>-111.81</v>
      </c>
      <c r="F48" s="85" t="s">
        <v>121</v>
      </c>
      <c r="G48" s="118" t="s">
        <v>122</v>
      </c>
      <c r="H48" s="34"/>
    </row>
    <row r="49" spans="1:8" x14ac:dyDescent="0.2">
      <c r="A49" s="84">
        <v>45</v>
      </c>
      <c r="B49" s="85" t="s">
        <v>189</v>
      </c>
      <c r="C49" s="85" t="s">
        <v>179</v>
      </c>
      <c r="D49" s="85" t="s">
        <v>171</v>
      </c>
      <c r="E49" s="117">
        <v>-235.52</v>
      </c>
      <c r="F49" s="85" t="s">
        <v>131</v>
      </c>
      <c r="G49" s="118" t="s">
        <v>118</v>
      </c>
      <c r="H49" s="34"/>
    </row>
    <row r="50" spans="1:8" x14ac:dyDescent="0.2">
      <c r="A50" s="84">
        <v>46</v>
      </c>
      <c r="B50" s="85" t="s">
        <v>190</v>
      </c>
      <c r="C50" s="85" t="s">
        <v>191</v>
      </c>
      <c r="D50" s="85" t="s">
        <v>120</v>
      </c>
      <c r="E50" s="117">
        <v>-101.85</v>
      </c>
      <c r="F50" s="85" t="s">
        <v>121</v>
      </c>
      <c r="G50" s="118" t="s">
        <v>122</v>
      </c>
      <c r="H50" s="34"/>
    </row>
    <row r="51" spans="1:8" x14ac:dyDescent="0.2">
      <c r="A51" s="84">
        <v>47</v>
      </c>
      <c r="B51" s="85" t="s">
        <v>192</v>
      </c>
      <c r="C51" s="85" t="s">
        <v>191</v>
      </c>
      <c r="D51" s="85" t="s">
        <v>165</v>
      </c>
      <c r="E51" s="117">
        <v>-50.93</v>
      </c>
      <c r="F51" s="85" t="s">
        <v>121</v>
      </c>
      <c r="G51" s="118" t="s">
        <v>122</v>
      </c>
      <c r="H51" s="34"/>
    </row>
    <row r="52" spans="1:8" x14ac:dyDescent="0.2">
      <c r="A52" s="84">
        <v>48</v>
      </c>
      <c r="B52" s="85" t="s">
        <v>193</v>
      </c>
      <c r="C52" s="85" t="s">
        <v>191</v>
      </c>
      <c r="D52" s="85" t="s">
        <v>120</v>
      </c>
      <c r="E52" s="117">
        <v>-104.95</v>
      </c>
      <c r="F52" s="85" t="s">
        <v>121</v>
      </c>
      <c r="G52" s="118" t="s">
        <v>122</v>
      </c>
      <c r="H52" s="34"/>
    </row>
    <row r="53" spans="1:8" x14ac:dyDescent="0.2">
      <c r="A53" s="84">
        <v>49</v>
      </c>
      <c r="B53" s="85" t="s">
        <v>77</v>
      </c>
      <c r="C53" s="85" t="s">
        <v>191</v>
      </c>
      <c r="D53" s="85" t="s">
        <v>185</v>
      </c>
      <c r="E53" s="117">
        <v>-83.44</v>
      </c>
      <c r="F53" s="85" t="s">
        <v>121</v>
      </c>
      <c r="G53" s="118" t="s">
        <v>122</v>
      </c>
      <c r="H53" s="34"/>
    </row>
    <row r="54" spans="1:8" x14ac:dyDescent="0.2">
      <c r="A54" s="84">
        <v>50</v>
      </c>
      <c r="B54" s="85" t="s">
        <v>79</v>
      </c>
      <c r="C54" s="85" t="s">
        <v>191</v>
      </c>
      <c r="D54" s="85" t="s">
        <v>194</v>
      </c>
      <c r="E54" s="117">
        <v>-269</v>
      </c>
      <c r="F54" s="85" t="s">
        <v>124</v>
      </c>
      <c r="G54" s="118" t="s">
        <v>122</v>
      </c>
      <c r="H54" s="34"/>
    </row>
    <row r="55" spans="1:8" x14ac:dyDescent="0.2">
      <c r="A55" s="84">
        <v>51</v>
      </c>
      <c r="B55" s="85" t="s">
        <v>87</v>
      </c>
      <c r="C55" s="85" t="s">
        <v>191</v>
      </c>
      <c r="D55" s="85" t="s">
        <v>155</v>
      </c>
      <c r="E55" s="117">
        <v>-103.5</v>
      </c>
      <c r="F55" s="85" t="s">
        <v>121</v>
      </c>
      <c r="G55" s="118" t="s">
        <v>122</v>
      </c>
      <c r="H55" s="34"/>
    </row>
    <row r="56" spans="1:8" x14ac:dyDescent="0.2">
      <c r="A56" s="84">
        <v>52</v>
      </c>
      <c r="B56" s="85" t="s">
        <v>195</v>
      </c>
      <c r="C56" s="85" t="s">
        <v>191</v>
      </c>
      <c r="D56" s="85" t="s">
        <v>141</v>
      </c>
      <c r="E56" s="117">
        <v>-113.85</v>
      </c>
      <c r="F56" s="85" t="s">
        <v>121</v>
      </c>
      <c r="G56" s="118" t="s">
        <v>122</v>
      </c>
      <c r="H56" s="34"/>
    </row>
    <row r="57" spans="1:8" x14ac:dyDescent="0.2">
      <c r="A57" s="84">
        <v>53</v>
      </c>
      <c r="B57" s="85" t="s">
        <v>196</v>
      </c>
      <c r="C57" s="85" t="s">
        <v>191</v>
      </c>
      <c r="D57" s="85" t="s">
        <v>177</v>
      </c>
      <c r="E57" s="117">
        <v>-111.81</v>
      </c>
      <c r="F57" s="85" t="s">
        <v>121</v>
      </c>
      <c r="G57" s="118" t="s">
        <v>122</v>
      </c>
      <c r="H57" s="34"/>
    </row>
    <row r="58" spans="1:8" x14ac:dyDescent="0.2">
      <c r="A58" s="84">
        <v>54</v>
      </c>
      <c r="B58" s="85" t="s">
        <v>196</v>
      </c>
      <c r="C58" s="85" t="s">
        <v>191</v>
      </c>
      <c r="D58" s="85" t="s">
        <v>187</v>
      </c>
      <c r="E58" s="117">
        <v>-78.56</v>
      </c>
      <c r="F58" s="85" t="s">
        <v>121</v>
      </c>
      <c r="G58" s="118" t="s">
        <v>122</v>
      </c>
      <c r="H58" s="34"/>
    </row>
    <row r="59" spans="1:8" x14ac:dyDescent="0.2">
      <c r="A59" s="84">
        <v>55</v>
      </c>
      <c r="B59" s="85" t="s">
        <v>197</v>
      </c>
      <c r="C59" s="85" t="s">
        <v>191</v>
      </c>
      <c r="D59" s="85" t="s">
        <v>171</v>
      </c>
      <c r="E59" s="117">
        <v>-235.52</v>
      </c>
      <c r="F59" s="85" t="s">
        <v>131</v>
      </c>
      <c r="G59" s="118" t="s">
        <v>118</v>
      </c>
      <c r="H59" s="34"/>
    </row>
    <row r="60" spans="1:8" x14ac:dyDescent="0.2">
      <c r="A60" s="84">
        <v>56</v>
      </c>
      <c r="B60" s="85" t="s">
        <v>197</v>
      </c>
      <c r="C60" s="85" t="s">
        <v>191</v>
      </c>
      <c r="D60" s="85" t="s">
        <v>198</v>
      </c>
      <c r="E60" s="117">
        <v>-74.430000000000007</v>
      </c>
      <c r="F60" s="85" t="s">
        <v>199</v>
      </c>
      <c r="G60" s="118" t="s">
        <v>118</v>
      </c>
      <c r="H60" s="34"/>
    </row>
    <row r="61" spans="1:8" x14ac:dyDescent="0.2">
      <c r="A61" s="84">
        <v>57</v>
      </c>
      <c r="B61" s="85" t="s">
        <v>200</v>
      </c>
      <c r="C61" s="85" t="s">
        <v>191</v>
      </c>
      <c r="D61" s="85" t="s">
        <v>187</v>
      </c>
      <c r="E61" s="117">
        <v>-78.25</v>
      </c>
      <c r="F61" s="85" t="s">
        <v>121</v>
      </c>
      <c r="G61" s="118" t="s">
        <v>122</v>
      </c>
      <c r="H61" s="34"/>
    </row>
    <row r="62" spans="1:8" x14ac:dyDescent="0.2">
      <c r="A62" s="84">
        <v>58</v>
      </c>
      <c r="B62" s="85" t="s">
        <v>200</v>
      </c>
      <c r="C62" s="85" t="s">
        <v>191</v>
      </c>
      <c r="D62" s="85" t="s">
        <v>187</v>
      </c>
      <c r="E62" s="117">
        <v>-78.25</v>
      </c>
      <c r="F62" s="85" t="s">
        <v>121</v>
      </c>
      <c r="G62" s="118" t="s">
        <v>122</v>
      </c>
      <c r="H62" s="34"/>
    </row>
    <row r="63" spans="1:8" x14ac:dyDescent="0.2">
      <c r="A63" s="84">
        <v>59</v>
      </c>
      <c r="B63" s="85" t="s">
        <v>88</v>
      </c>
      <c r="C63" s="85" t="s">
        <v>191</v>
      </c>
      <c r="D63" s="85" t="s">
        <v>187</v>
      </c>
      <c r="E63" s="117">
        <v>-78.25</v>
      </c>
      <c r="F63" s="85" t="s">
        <v>121</v>
      </c>
      <c r="G63" s="118" t="s">
        <v>122</v>
      </c>
      <c r="H63" s="34"/>
    </row>
    <row r="64" spans="1:8" x14ac:dyDescent="0.2">
      <c r="A64" s="51"/>
      <c r="B64" s="52"/>
      <c r="C64" s="52"/>
      <c r="D64" s="52"/>
      <c r="E64" s="52"/>
      <c r="F64" s="52"/>
      <c r="G64" s="53"/>
      <c r="H64" s="34"/>
    </row>
    <row r="65" spans="1:8" x14ac:dyDescent="0.2">
      <c r="A65" s="112" t="s">
        <v>201</v>
      </c>
      <c r="B65" s="52"/>
      <c r="C65" s="52"/>
      <c r="D65" s="52"/>
      <c r="E65" s="52"/>
      <c r="F65" s="52"/>
      <c r="G65" s="53"/>
      <c r="H65" s="34"/>
    </row>
    <row r="66" spans="1:8" x14ac:dyDescent="0.2">
      <c r="A66" s="51"/>
      <c r="B66" s="52"/>
      <c r="C66" s="52"/>
      <c r="D66" s="119" t="s">
        <v>202</v>
      </c>
      <c r="E66" s="120">
        <f>SUM(E5:E63)</f>
        <v>-26007.550000000003</v>
      </c>
      <c r="F66" s="52"/>
      <c r="G66" s="53"/>
      <c r="H66" s="34"/>
    </row>
    <row r="67" spans="1:8" x14ac:dyDescent="0.2">
      <c r="A67" s="51"/>
      <c r="B67" s="52"/>
      <c r="C67" s="52"/>
      <c r="D67" s="85" t="s">
        <v>203</v>
      </c>
      <c r="E67" s="85">
        <f>COUNTA(B5:B63)</f>
        <v>59</v>
      </c>
      <c r="F67" s="52"/>
      <c r="G67" s="53"/>
      <c r="H67" s="34"/>
    </row>
    <row r="68" spans="1:8" x14ac:dyDescent="0.2">
      <c r="A68" s="51"/>
      <c r="B68" s="52"/>
      <c r="C68" s="52"/>
      <c r="D68" s="52"/>
      <c r="E68" s="52"/>
      <c r="F68" s="52"/>
      <c r="G68" s="53"/>
      <c r="H68" s="34"/>
    </row>
    <row r="69" spans="1:8" x14ac:dyDescent="0.2">
      <c r="A69" s="121" t="s">
        <v>204</v>
      </c>
      <c r="B69" s="52"/>
      <c r="C69" s="52"/>
      <c r="D69" s="52"/>
      <c r="E69" s="52"/>
      <c r="F69" s="52"/>
      <c r="G69" s="53"/>
      <c r="H69" s="34"/>
    </row>
    <row r="70" spans="1:8" x14ac:dyDescent="0.2">
      <c r="A70" s="34"/>
      <c r="B70" s="34"/>
      <c r="C70" s="34"/>
      <c r="D70" s="34"/>
      <c r="E70" s="34"/>
      <c r="F70" s="34"/>
      <c r="G70" s="34"/>
      <c r="H70" s="3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6600"/>
  </sheetPr>
  <dimension ref="A1:L29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18" customWidth="1"/>
    <col min="2" max="2" width="22" customWidth="1"/>
    <col min="3" max="3" width="32" customWidth="1"/>
    <col min="4" max="4" width="6" customWidth="1"/>
    <col min="5" max="5" width="14" customWidth="1"/>
    <col min="6" max="6" width="22" customWidth="1"/>
    <col min="7" max="8" width="10" customWidth="1"/>
    <col min="9" max="9" width="14" customWidth="1"/>
    <col min="10" max="10" width="12" customWidth="1"/>
  </cols>
  <sheetData>
    <row r="1" spans="1:12" ht="16" x14ac:dyDescent="0.2">
      <c r="A1" s="65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34"/>
      <c r="L1" s="34"/>
    </row>
    <row r="2" spans="1:12" x14ac:dyDescent="0.2">
      <c r="A2" s="67" t="s">
        <v>206</v>
      </c>
      <c r="B2" s="36"/>
      <c r="C2" s="36"/>
      <c r="D2" s="36"/>
      <c r="E2" s="36"/>
      <c r="F2" s="36"/>
      <c r="G2" s="36"/>
      <c r="H2" s="36"/>
      <c r="I2" s="36"/>
      <c r="J2" s="36"/>
      <c r="K2" s="34"/>
      <c r="L2" s="34"/>
    </row>
    <row r="3" spans="1:12" x14ac:dyDescent="0.2">
      <c r="A3" s="35"/>
      <c r="B3" s="35"/>
      <c r="C3" s="35"/>
      <c r="D3" s="35"/>
      <c r="E3" s="35"/>
      <c r="F3" s="35"/>
      <c r="G3" s="35"/>
      <c r="H3" s="35"/>
      <c r="I3" s="35"/>
      <c r="J3" s="35"/>
      <c r="K3" s="34"/>
      <c r="L3" s="34"/>
    </row>
    <row r="4" spans="1:12" x14ac:dyDescent="0.2">
      <c r="A4" s="62" t="s">
        <v>207</v>
      </c>
      <c r="B4" s="62" t="s">
        <v>208</v>
      </c>
      <c r="C4" s="62" t="s">
        <v>209</v>
      </c>
      <c r="D4" s="62" t="s">
        <v>46</v>
      </c>
      <c r="E4" s="62" t="s">
        <v>210</v>
      </c>
      <c r="F4" s="62" t="s">
        <v>112</v>
      </c>
      <c r="G4" s="62" t="s">
        <v>211</v>
      </c>
      <c r="H4" s="62" t="s">
        <v>212</v>
      </c>
      <c r="I4" s="62" t="s">
        <v>213</v>
      </c>
      <c r="J4" s="62" t="s">
        <v>7</v>
      </c>
      <c r="K4" s="34"/>
      <c r="L4" s="34"/>
    </row>
    <row r="5" spans="1:12" x14ac:dyDescent="0.2">
      <c r="A5" s="63" t="s">
        <v>214</v>
      </c>
      <c r="B5" s="63" t="s">
        <v>215</v>
      </c>
      <c r="C5" s="63" t="s">
        <v>216</v>
      </c>
      <c r="D5" s="63" t="s">
        <v>83</v>
      </c>
      <c r="E5" s="64">
        <v>92</v>
      </c>
      <c r="F5" s="63" t="s">
        <v>217</v>
      </c>
      <c r="G5" s="63" t="s">
        <v>218</v>
      </c>
      <c r="H5" s="63" t="s">
        <v>219</v>
      </c>
      <c r="I5" s="63" t="s">
        <v>220</v>
      </c>
      <c r="J5" s="63" t="s">
        <v>221</v>
      </c>
      <c r="K5" s="34"/>
      <c r="L5" s="34"/>
    </row>
    <row r="6" spans="1:12" x14ac:dyDescent="0.2">
      <c r="A6" s="63" t="s">
        <v>214</v>
      </c>
      <c r="B6" s="63" t="s">
        <v>215</v>
      </c>
      <c r="C6" s="63" t="s">
        <v>222</v>
      </c>
      <c r="D6" s="63" t="s">
        <v>83</v>
      </c>
      <c r="E6" s="64">
        <v>92</v>
      </c>
      <c r="F6" s="63" t="s">
        <v>217</v>
      </c>
      <c r="G6" s="63" t="s">
        <v>218</v>
      </c>
      <c r="H6" s="63" t="s">
        <v>219</v>
      </c>
      <c r="I6" s="63" t="s">
        <v>220</v>
      </c>
      <c r="J6" s="63" t="s">
        <v>221</v>
      </c>
      <c r="K6" s="34"/>
      <c r="L6" s="34"/>
    </row>
    <row r="7" spans="1:12" x14ac:dyDescent="0.2">
      <c r="A7" s="63" t="s">
        <v>223</v>
      </c>
      <c r="B7" s="63" t="s">
        <v>224</v>
      </c>
      <c r="C7" s="63" t="s">
        <v>225</v>
      </c>
      <c r="D7" s="63" t="s">
        <v>55</v>
      </c>
      <c r="E7" s="64">
        <v>106</v>
      </c>
      <c r="F7" s="63" t="s">
        <v>226</v>
      </c>
      <c r="G7" s="63" t="s">
        <v>227</v>
      </c>
      <c r="H7" s="63" t="s">
        <v>228</v>
      </c>
      <c r="I7" s="63"/>
      <c r="J7" s="63" t="s">
        <v>229</v>
      </c>
      <c r="K7" s="34"/>
      <c r="L7" s="34"/>
    </row>
    <row r="8" spans="1:12" x14ac:dyDescent="0.2">
      <c r="A8" s="63" t="s">
        <v>230</v>
      </c>
      <c r="B8" s="63" t="s">
        <v>215</v>
      </c>
      <c r="C8" s="63" t="s">
        <v>222</v>
      </c>
      <c r="D8" s="63" t="s">
        <v>83</v>
      </c>
      <c r="E8" s="64">
        <v>96.99</v>
      </c>
      <c r="F8" s="63" t="s">
        <v>231</v>
      </c>
      <c r="G8" s="63" t="s">
        <v>218</v>
      </c>
      <c r="H8" s="63" t="s">
        <v>232</v>
      </c>
      <c r="I8" s="63"/>
      <c r="J8" s="63" t="s">
        <v>229</v>
      </c>
      <c r="K8" s="34"/>
      <c r="L8" s="34"/>
    </row>
    <row r="9" spans="1:12" x14ac:dyDescent="0.2">
      <c r="A9" s="63" t="s">
        <v>233</v>
      </c>
      <c r="B9" s="63" t="s">
        <v>234</v>
      </c>
      <c r="C9" s="63" t="s">
        <v>235</v>
      </c>
      <c r="D9" s="63" t="s">
        <v>236</v>
      </c>
      <c r="E9" s="64">
        <v>0</v>
      </c>
      <c r="F9" s="63" t="s">
        <v>237</v>
      </c>
      <c r="G9" s="63" t="s">
        <v>238</v>
      </c>
      <c r="H9" s="63" t="s">
        <v>232</v>
      </c>
      <c r="I9" s="63"/>
      <c r="J9" s="63" t="s">
        <v>239</v>
      </c>
      <c r="K9" s="34"/>
      <c r="L9" s="34"/>
    </row>
    <row r="10" spans="1:12" x14ac:dyDescent="0.2">
      <c r="A10" s="63" t="s">
        <v>233</v>
      </c>
      <c r="B10" s="63" t="s">
        <v>234</v>
      </c>
      <c r="C10" s="63" t="s">
        <v>216</v>
      </c>
      <c r="D10" s="63" t="s">
        <v>236</v>
      </c>
      <c r="E10" s="64">
        <v>418.43</v>
      </c>
      <c r="F10" s="63" t="s">
        <v>237</v>
      </c>
      <c r="G10" s="63" t="s">
        <v>238</v>
      </c>
      <c r="H10" s="63" t="s">
        <v>232</v>
      </c>
      <c r="I10" s="63"/>
      <c r="J10" s="63" t="s">
        <v>239</v>
      </c>
      <c r="K10" s="34"/>
      <c r="L10" s="34"/>
    </row>
    <row r="11" spans="1:12" x14ac:dyDescent="0.2">
      <c r="A11" s="63" t="s">
        <v>240</v>
      </c>
      <c r="B11" s="63" t="s">
        <v>215</v>
      </c>
      <c r="C11" s="63" t="s">
        <v>225</v>
      </c>
      <c r="D11" s="63" t="s">
        <v>55</v>
      </c>
      <c r="E11" s="64">
        <v>106</v>
      </c>
      <c r="F11" s="63" t="s">
        <v>241</v>
      </c>
      <c r="G11" s="63" t="s">
        <v>227</v>
      </c>
      <c r="H11" s="63" t="s">
        <v>228</v>
      </c>
      <c r="I11" s="63"/>
      <c r="J11" s="63" t="s">
        <v>229</v>
      </c>
      <c r="K11" s="34"/>
      <c r="L11" s="34"/>
    </row>
    <row r="12" spans="1:12" x14ac:dyDescent="0.2">
      <c r="A12" s="63" t="s">
        <v>242</v>
      </c>
      <c r="B12" s="63" t="s">
        <v>243</v>
      </c>
      <c r="C12" s="63" t="s">
        <v>216</v>
      </c>
      <c r="D12" s="63" t="s">
        <v>236</v>
      </c>
      <c r="E12" s="64">
        <v>45.37</v>
      </c>
      <c r="F12" s="63" t="s">
        <v>244</v>
      </c>
      <c r="G12" s="63" t="s">
        <v>238</v>
      </c>
      <c r="H12" s="63" t="s">
        <v>232</v>
      </c>
      <c r="I12" s="63"/>
      <c r="J12" s="63" t="s">
        <v>239</v>
      </c>
      <c r="K12" s="34"/>
      <c r="L12" s="34"/>
    </row>
    <row r="13" spans="1:12" x14ac:dyDescent="0.2">
      <c r="A13" s="63" t="s">
        <v>245</v>
      </c>
      <c r="B13" s="63" t="s">
        <v>246</v>
      </c>
      <c r="C13" s="63" t="s">
        <v>239</v>
      </c>
      <c r="D13" s="63" t="s">
        <v>83</v>
      </c>
      <c r="E13" s="64">
        <v>15.41</v>
      </c>
      <c r="F13" s="63" t="s">
        <v>247</v>
      </c>
      <c r="G13" s="63" t="s">
        <v>248</v>
      </c>
      <c r="H13" s="63" t="s">
        <v>232</v>
      </c>
      <c r="I13" s="63" t="s">
        <v>249</v>
      </c>
      <c r="J13" s="63" t="s">
        <v>229</v>
      </c>
      <c r="K13" s="34"/>
      <c r="L13" s="34"/>
    </row>
    <row r="14" spans="1:12" x14ac:dyDescent="0.2">
      <c r="A14" s="63" t="s">
        <v>250</v>
      </c>
      <c r="B14" s="63" t="s">
        <v>251</v>
      </c>
      <c r="C14" s="63" t="s">
        <v>239</v>
      </c>
      <c r="D14" s="63" t="s">
        <v>83</v>
      </c>
      <c r="E14" s="64">
        <v>149.9</v>
      </c>
      <c r="F14" s="63" t="s">
        <v>252</v>
      </c>
      <c r="G14" s="63" t="s">
        <v>218</v>
      </c>
      <c r="H14" s="63" t="s">
        <v>219</v>
      </c>
      <c r="I14" s="63" t="s">
        <v>253</v>
      </c>
      <c r="J14" s="63" t="s">
        <v>221</v>
      </c>
      <c r="K14" s="34"/>
      <c r="L14" s="34"/>
    </row>
    <row r="15" spans="1:12" x14ac:dyDescent="0.2">
      <c r="A15" s="63" t="s">
        <v>254</v>
      </c>
      <c r="B15" s="63" t="s">
        <v>255</v>
      </c>
      <c r="C15" s="63" t="s">
        <v>239</v>
      </c>
      <c r="D15" s="63" t="s">
        <v>83</v>
      </c>
      <c r="E15" s="64">
        <v>19.899999999999999</v>
      </c>
      <c r="F15" s="63" t="s">
        <v>256</v>
      </c>
      <c r="G15" s="63" t="s">
        <v>248</v>
      </c>
      <c r="H15" s="63" t="s">
        <v>228</v>
      </c>
      <c r="I15" s="63" t="s">
        <v>257</v>
      </c>
      <c r="J15" s="63" t="s">
        <v>229</v>
      </c>
      <c r="K15" s="34"/>
      <c r="L15" s="34"/>
    </row>
    <row r="16" spans="1:12" x14ac:dyDescent="0.2">
      <c r="A16" s="63" t="s">
        <v>258</v>
      </c>
      <c r="B16" s="63" t="s">
        <v>259</v>
      </c>
      <c r="C16" s="63" t="s">
        <v>239</v>
      </c>
      <c r="D16" s="63" t="s">
        <v>83</v>
      </c>
      <c r="E16" s="64">
        <v>42.42</v>
      </c>
      <c r="F16" s="63" t="s">
        <v>260</v>
      </c>
      <c r="G16" s="63" t="s">
        <v>227</v>
      </c>
      <c r="H16" s="63" t="s">
        <v>232</v>
      </c>
      <c r="I16" s="63" t="s">
        <v>261</v>
      </c>
      <c r="J16" s="63" t="s">
        <v>229</v>
      </c>
      <c r="K16" s="34"/>
      <c r="L16" s="34"/>
    </row>
    <row r="17" spans="1:12" x14ac:dyDescent="0.2">
      <c r="A17" s="63" t="s">
        <v>262</v>
      </c>
      <c r="B17" s="63" t="s">
        <v>246</v>
      </c>
      <c r="C17" s="63" t="s">
        <v>239</v>
      </c>
      <c r="D17" s="63" t="s">
        <v>83</v>
      </c>
      <c r="E17" s="64">
        <v>28.33</v>
      </c>
      <c r="F17" s="63" t="s">
        <v>263</v>
      </c>
      <c r="G17" s="63" t="s">
        <v>248</v>
      </c>
      <c r="H17" s="63" t="s">
        <v>232</v>
      </c>
      <c r="I17" s="63" t="s">
        <v>264</v>
      </c>
      <c r="J17" s="63" t="s">
        <v>229</v>
      </c>
      <c r="K17" s="34"/>
      <c r="L17" s="34"/>
    </row>
    <row r="18" spans="1:12" x14ac:dyDescent="0.2">
      <c r="A18" s="63" t="s">
        <v>265</v>
      </c>
      <c r="B18" s="63" t="s">
        <v>266</v>
      </c>
      <c r="C18" s="63" t="s">
        <v>239</v>
      </c>
      <c r="D18" s="63" t="s">
        <v>83</v>
      </c>
      <c r="E18" s="64">
        <v>99.9</v>
      </c>
      <c r="F18" s="63" t="s">
        <v>267</v>
      </c>
      <c r="G18" s="63" t="s">
        <v>218</v>
      </c>
      <c r="H18" s="63" t="s">
        <v>228</v>
      </c>
      <c r="I18" s="63" t="s">
        <v>268</v>
      </c>
      <c r="J18" s="63" t="s">
        <v>229</v>
      </c>
      <c r="K18" s="34"/>
      <c r="L18" s="34"/>
    </row>
    <row r="19" spans="1:12" x14ac:dyDescent="0.2">
      <c r="A19" s="63" t="s">
        <v>269</v>
      </c>
      <c r="B19" s="63" t="s">
        <v>270</v>
      </c>
      <c r="C19" s="63" t="s">
        <v>239</v>
      </c>
      <c r="D19" s="63" t="s">
        <v>83</v>
      </c>
      <c r="E19" s="64">
        <v>31.9</v>
      </c>
      <c r="F19" s="63" t="s">
        <v>271</v>
      </c>
      <c r="G19" s="63" t="s">
        <v>248</v>
      </c>
      <c r="H19" s="63" t="s">
        <v>219</v>
      </c>
      <c r="I19" s="63" t="s">
        <v>272</v>
      </c>
      <c r="J19" s="63" t="s">
        <v>221</v>
      </c>
      <c r="K19" s="34"/>
      <c r="L19" s="34"/>
    </row>
    <row r="20" spans="1:12" x14ac:dyDescent="0.2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4"/>
      <c r="L20" s="34"/>
    </row>
    <row r="21" spans="1:12" ht="16" thickBot="1" x14ac:dyDescent="0.25">
      <c r="A21" s="74" t="s">
        <v>273</v>
      </c>
      <c r="B21" s="37"/>
      <c r="C21" s="37"/>
      <c r="D21" s="37"/>
      <c r="E21" s="37"/>
      <c r="F21" s="37"/>
      <c r="G21" s="37"/>
      <c r="H21" s="37"/>
      <c r="I21" s="37"/>
      <c r="J21" s="37"/>
      <c r="K21" s="34"/>
      <c r="L21" s="34"/>
    </row>
    <row r="22" spans="1:12" ht="16" thickBot="1" x14ac:dyDescent="0.25">
      <c r="A22" s="68" t="s">
        <v>274</v>
      </c>
      <c r="B22" s="69"/>
      <c r="C22" s="69"/>
      <c r="D22" s="69"/>
      <c r="E22" s="70">
        <f>SUMIFS(E5:E19,H5:H19,"KEEP")</f>
        <v>331.8</v>
      </c>
      <c r="F22" s="68">
        <f>COUNTIF(H5:H19,"KEEP")</f>
        <v>4</v>
      </c>
      <c r="G22" s="35"/>
      <c r="H22" s="35"/>
      <c r="I22" s="35"/>
      <c r="J22" s="35"/>
      <c r="K22" s="34"/>
      <c r="L22" s="34"/>
    </row>
    <row r="23" spans="1:12" ht="16" thickBot="1" x14ac:dyDescent="0.25">
      <c r="A23" s="68" t="s">
        <v>275</v>
      </c>
      <c r="B23" s="69"/>
      <c r="C23" s="69"/>
      <c r="D23" s="69"/>
      <c r="E23" s="70">
        <f>SUMIFS(E5:E19,H5:H19,"CANCEL")</f>
        <v>365.79999999999995</v>
      </c>
      <c r="F23" s="68">
        <f>COUNTIF(H5:H19,"CANCEL")</f>
        <v>4</v>
      </c>
      <c r="G23" s="35"/>
      <c r="H23" s="35"/>
      <c r="I23" s="35"/>
      <c r="J23" s="35"/>
      <c r="K23" s="34"/>
      <c r="L23" s="34"/>
    </row>
    <row r="24" spans="1:12" ht="16" thickBot="1" x14ac:dyDescent="0.25">
      <c r="A24" s="71" t="s">
        <v>276</v>
      </c>
      <c r="B24" s="72"/>
      <c r="C24" s="72"/>
      <c r="D24" s="72"/>
      <c r="E24" s="73">
        <f>SUMIFS(E5:E19,H5:H19,"REVIEW")</f>
        <v>646.94999999999993</v>
      </c>
      <c r="F24" s="71">
        <f>COUNTIF(H5:H19,"REVIEW")</f>
        <v>7</v>
      </c>
      <c r="G24" s="35"/>
      <c r="H24" s="35"/>
      <c r="I24" s="35"/>
      <c r="J24" s="35"/>
      <c r="K24" s="34"/>
      <c r="L24" s="34"/>
    </row>
    <row r="25" spans="1:12" ht="16" thickBot="1" x14ac:dyDescent="0.25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4"/>
      <c r="L25" s="34"/>
    </row>
    <row r="26" spans="1:12" ht="16" thickBot="1" x14ac:dyDescent="0.25">
      <c r="A26" s="68" t="s">
        <v>277</v>
      </c>
      <c r="B26" s="69"/>
      <c r="C26" s="69"/>
      <c r="D26" s="69"/>
      <c r="E26" s="70">
        <f>E23*12</f>
        <v>4389.5999999999995</v>
      </c>
      <c r="F26" s="69"/>
      <c r="G26" s="35"/>
      <c r="H26" s="35"/>
      <c r="I26" s="35"/>
      <c r="J26" s="35"/>
      <c r="K26" s="34"/>
      <c r="L26" s="34"/>
    </row>
    <row r="27" spans="1:12" ht="16" thickBot="1" x14ac:dyDescent="0.25">
      <c r="A27" s="71" t="s">
        <v>278</v>
      </c>
      <c r="B27" s="72"/>
      <c r="C27" s="72"/>
      <c r="D27" s="72"/>
      <c r="E27" s="73">
        <f>SUM(E5:E19)</f>
        <v>1344.5500000000004</v>
      </c>
      <c r="F27" s="72"/>
      <c r="G27" s="35"/>
      <c r="H27" s="35"/>
      <c r="I27" s="35"/>
      <c r="J27" s="35"/>
      <c r="K27" s="34"/>
      <c r="L27" s="34"/>
    </row>
    <row r="28" spans="1:12" x14ac:dyDescent="0.2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</row>
    <row r="29" spans="1:12" x14ac:dyDescent="0.2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600"/>
  </sheetPr>
  <dimension ref="A1:F41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13" customWidth="1"/>
    <col min="2" max="2" width="10" customWidth="1"/>
    <col min="3" max="3" width="42" customWidth="1"/>
    <col min="4" max="5" width="16" customWidth="1"/>
    <col min="6" max="6" width="14" customWidth="1"/>
  </cols>
  <sheetData>
    <row r="1" spans="1:6" ht="16" x14ac:dyDescent="0.2">
      <c r="A1" s="1" t="s">
        <v>279</v>
      </c>
    </row>
    <row r="2" spans="1:6" x14ac:dyDescent="0.2">
      <c r="A2" s="2" t="s">
        <v>280</v>
      </c>
    </row>
    <row r="4" spans="1:6" x14ac:dyDescent="0.2">
      <c r="A4" s="3" t="s">
        <v>44</v>
      </c>
      <c r="B4" s="3" t="s">
        <v>3</v>
      </c>
      <c r="C4" s="3" t="s">
        <v>281</v>
      </c>
      <c r="D4" s="3" t="s">
        <v>282</v>
      </c>
      <c r="E4" s="3" t="s">
        <v>283</v>
      </c>
      <c r="F4" s="3" t="s">
        <v>284</v>
      </c>
    </row>
    <row r="5" spans="1:6" x14ac:dyDescent="0.2">
      <c r="A5" s="6" t="s">
        <v>285</v>
      </c>
      <c r="B5" s="6" t="s">
        <v>286</v>
      </c>
      <c r="C5" s="6" t="s">
        <v>287</v>
      </c>
      <c r="D5" s="18">
        <v>2000</v>
      </c>
    </row>
    <row r="6" spans="1:6" x14ac:dyDescent="0.2">
      <c r="A6" s="13" t="s">
        <v>285</v>
      </c>
      <c r="B6" s="13" t="s">
        <v>286</v>
      </c>
      <c r="C6" s="13" t="s">
        <v>288</v>
      </c>
      <c r="D6" s="19">
        <v>40000</v>
      </c>
      <c r="E6" s="22"/>
      <c r="F6" s="22"/>
    </row>
    <row r="7" spans="1:6" x14ac:dyDescent="0.2">
      <c r="A7" s="6" t="s">
        <v>289</v>
      </c>
      <c r="B7" s="6" t="s">
        <v>286</v>
      </c>
      <c r="C7" s="6" t="s">
        <v>288</v>
      </c>
      <c r="D7" s="18">
        <v>10</v>
      </c>
    </row>
    <row r="8" spans="1:6" x14ac:dyDescent="0.2">
      <c r="A8" s="13" t="s">
        <v>88</v>
      </c>
      <c r="B8" s="13" t="s">
        <v>290</v>
      </c>
      <c r="C8" s="13" t="s">
        <v>291</v>
      </c>
      <c r="D8" s="19">
        <v>-480</v>
      </c>
      <c r="E8" s="22"/>
      <c r="F8" s="22"/>
    </row>
    <row r="9" spans="1:6" x14ac:dyDescent="0.2">
      <c r="A9" s="6" t="s">
        <v>87</v>
      </c>
      <c r="B9" s="6" t="s">
        <v>290</v>
      </c>
      <c r="C9" s="6" t="s">
        <v>291</v>
      </c>
      <c r="D9" s="18">
        <v>-450</v>
      </c>
    </row>
    <row r="10" spans="1:6" x14ac:dyDescent="0.2">
      <c r="A10" s="13" t="s">
        <v>292</v>
      </c>
      <c r="B10" s="13" t="s">
        <v>290</v>
      </c>
      <c r="C10" s="13" t="s">
        <v>291</v>
      </c>
      <c r="D10" s="19">
        <v>-470</v>
      </c>
      <c r="E10" s="22"/>
      <c r="F10" s="22"/>
    </row>
    <row r="11" spans="1:6" x14ac:dyDescent="0.2">
      <c r="A11" s="6" t="s">
        <v>293</v>
      </c>
      <c r="B11" s="6" t="s">
        <v>290</v>
      </c>
      <c r="C11" s="6" t="s">
        <v>294</v>
      </c>
      <c r="D11" s="18">
        <v>-700</v>
      </c>
    </row>
    <row r="12" spans="1:6" x14ac:dyDescent="0.2">
      <c r="A12" s="13" t="s">
        <v>81</v>
      </c>
      <c r="B12" s="13" t="s">
        <v>290</v>
      </c>
      <c r="C12" s="13" t="s">
        <v>295</v>
      </c>
      <c r="D12" s="19">
        <v>-1500</v>
      </c>
      <c r="E12" s="22"/>
      <c r="F12" s="22"/>
    </row>
    <row r="13" spans="1:6" x14ac:dyDescent="0.2">
      <c r="A13" s="6" t="s">
        <v>81</v>
      </c>
      <c r="B13" s="6" t="s">
        <v>290</v>
      </c>
      <c r="C13" s="6" t="s">
        <v>295</v>
      </c>
      <c r="D13" s="18">
        <v>-500</v>
      </c>
    </row>
    <row r="14" spans="1:6" x14ac:dyDescent="0.2">
      <c r="A14" s="13" t="s">
        <v>81</v>
      </c>
      <c r="B14" s="13" t="s">
        <v>290</v>
      </c>
      <c r="C14" s="13" t="s">
        <v>296</v>
      </c>
      <c r="D14" s="19">
        <v>-45000</v>
      </c>
      <c r="E14" s="22"/>
      <c r="F14" s="22"/>
    </row>
    <row r="15" spans="1:6" x14ac:dyDescent="0.2">
      <c r="A15" s="6" t="s">
        <v>77</v>
      </c>
      <c r="B15" s="6" t="s">
        <v>286</v>
      </c>
      <c r="C15" s="6" t="s">
        <v>288</v>
      </c>
      <c r="D15" s="18">
        <v>35000</v>
      </c>
    </row>
    <row r="16" spans="1:6" x14ac:dyDescent="0.2">
      <c r="A16" s="13" t="s">
        <v>77</v>
      </c>
      <c r="B16" s="13" t="s">
        <v>290</v>
      </c>
      <c r="C16" s="13" t="s">
        <v>297</v>
      </c>
      <c r="D16" s="19">
        <v>-20000</v>
      </c>
      <c r="E16" s="22"/>
      <c r="F16" s="22"/>
    </row>
    <row r="17" spans="1:6" x14ac:dyDescent="0.2">
      <c r="A17" s="6" t="s">
        <v>73</v>
      </c>
      <c r="B17" s="6" t="s">
        <v>290</v>
      </c>
      <c r="C17" s="6" t="s">
        <v>298</v>
      </c>
      <c r="D17" s="18">
        <v>-1299.97</v>
      </c>
    </row>
    <row r="18" spans="1:6" x14ac:dyDescent="0.2">
      <c r="A18" s="13" t="s">
        <v>72</v>
      </c>
      <c r="B18" s="13" t="s">
        <v>286</v>
      </c>
      <c r="C18" s="13" t="s">
        <v>288</v>
      </c>
      <c r="D18" s="19">
        <v>40000</v>
      </c>
      <c r="E18" s="22"/>
      <c r="F18" s="22"/>
    </row>
    <row r="19" spans="1:6" x14ac:dyDescent="0.2">
      <c r="A19" s="6" t="s">
        <v>72</v>
      </c>
      <c r="B19" s="6" t="s">
        <v>299</v>
      </c>
      <c r="C19" s="6" t="s">
        <v>300</v>
      </c>
      <c r="E19" s="18">
        <v>-74340.399999999994</v>
      </c>
    </row>
    <row r="20" spans="1:6" x14ac:dyDescent="0.2">
      <c r="A20" s="13" t="s">
        <v>72</v>
      </c>
      <c r="B20" s="13" t="s">
        <v>301</v>
      </c>
      <c r="C20" s="13" t="s">
        <v>302</v>
      </c>
      <c r="D20" s="22"/>
      <c r="E20" s="22"/>
      <c r="F20" s="19">
        <v>-2601.91</v>
      </c>
    </row>
    <row r="21" spans="1:6" x14ac:dyDescent="0.2">
      <c r="A21" s="6" t="s">
        <v>192</v>
      </c>
      <c r="B21" s="6" t="s">
        <v>286</v>
      </c>
      <c r="C21" s="6" t="s">
        <v>288</v>
      </c>
      <c r="D21" s="18">
        <v>40000</v>
      </c>
    </row>
    <row r="22" spans="1:6" x14ac:dyDescent="0.2">
      <c r="A22" s="13" t="s">
        <v>70</v>
      </c>
      <c r="B22" s="13" t="s">
        <v>299</v>
      </c>
      <c r="C22" s="13" t="s">
        <v>300</v>
      </c>
      <c r="D22" s="22"/>
      <c r="E22" s="19">
        <v>-24939.84</v>
      </c>
      <c r="F22" s="22"/>
    </row>
    <row r="23" spans="1:6" x14ac:dyDescent="0.2">
      <c r="A23" s="6" t="s">
        <v>70</v>
      </c>
      <c r="B23" s="6" t="s">
        <v>301</v>
      </c>
      <c r="C23" s="6" t="s">
        <v>302</v>
      </c>
      <c r="F23" s="18">
        <v>-872.89</v>
      </c>
    </row>
    <row r="24" spans="1:6" x14ac:dyDescent="0.2">
      <c r="A24" s="13" t="s">
        <v>303</v>
      </c>
      <c r="B24" s="13" t="s">
        <v>286</v>
      </c>
      <c r="C24" s="13" t="s">
        <v>288</v>
      </c>
      <c r="D24" s="19">
        <v>40000</v>
      </c>
      <c r="E24" s="22"/>
      <c r="F24" s="22"/>
    </row>
    <row r="25" spans="1:6" x14ac:dyDescent="0.2">
      <c r="A25" s="6" t="s">
        <v>303</v>
      </c>
      <c r="B25" s="6" t="s">
        <v>290</v>
      </c>
      <c r="C25" s="6" t="s">
        <v>304</v>
      </c>
      <c r="D25" s="18">
        <v>-50</v>
      </c>
    </row>
    <row r="26" spans="1:6" x14ac:dyDescent="0.2">
      <c r="A26" s="13" t="s">
        <v>303</v>
      </c>
      <c r="B26" s="13" t="s">
        <v>290</v>
      </c>
      <c r="C26" s="13" t="s">
        <v>305</v>
      </c>
      <c r="D26" s="19">
        <v>-10</v>
      </c>
      <c r="E26" s="22"/>
      <c r="F26" s="22"/>
    </row>
    <row r="27" spans="1:6" x14ac:dyDescent="0.2">
      <c r="A27" s="6" t="s">
        <v>303</v>
      </c>
      <c r="B27" s="6" t="s">
        <v>290</v>
      </c>
      <c r="C27" s="6" t="s">
        <v>291</v>
      </c>
      <c r="D27" s="18">
        <v>-470</v>
      </c>
    </row>
    <row r="28" spans="1:6" x14ac:dyDescent="0.2">
      <c r="A28" s="13" t="s">
        <v>306</v>
      </c>
      <c r="B28" s="13" t="s">
        <v>290</v>
      </c>
      <c r="C28" s="13" t="s">
        <v>307</v>
      </c>
      <c r="D28" s="19">
        <v>-6800</v>
      </c>
      <c r="E28" s="22"/>
      <c r="F28" s="22"/>
    </row>
    <row r="29" spans="1:6" x14ac:dyDescent="0.2">
      <c r="A29" s="6" t="s">
        <v>183</v>
      </c>
      <c r="B29" s="6" t="s">
        <v>290</v>
      </c>
      <c r="C29" s="6" t="s">
        <v>287</v>
      </c>
      <c r="D29" s="18">
        <v>-3000</v>
      </c>
    </row>
    <row r="30" spans="1:6" x14ac:dyDescent="0.2">
      <c r="A30" s="13" t="s">
        <v>308</v>
      </c>
      <c r="B30" s="13" t="s">
        <v>290</v>
      </c>
      <c r="C30" s="13" t="s">
        <v>291</v>
      </c>
      <c r="D30" s="19">
        <v>-350</v>
      </c>
      <c r="E30" s="22"/>
      <c r="F30" s="22"/>
    </row>
    <row r="31" spans="1:6" x14ac:dyDescent="0.2">
      <c r="A31" s="6" t="s">
        <v>172</v>
      </c>
      <c r="B31" s="6" t="s">
        <v>290</v>
      </c>
      <c r="C31" s="6" t="s">
        <v>309</v>
      </c>
      <c r="D31" s="18">
        <v>-500</v>
      </c>
    </row>
    <row r="32" spans="1:6" x14ac:dyDescent="0.2">
      <c r="A32" s="13" t="s">
        <v>310</v>
      </c>
      <c r="B32" s="13" t="s">
        <v>290</v>
      </c>
      <c r="C32" s="13" t="s">
        <v>287</v>
      </c>
      <c r="D32" s="19">
        <v>-6000</v>
      </c>
      <c r="E32" s="22"/>
      <c r="F32" s="22"/>
    </row>
    <row r="33" spans="1:6" x14ac:dyDescent="0.2">
      <c r="A33" s="6" t="s">
        <v>310</v>
      </c>
      <c r="B33" s="6" t="s">
        <v>290</v>
      </c>
      <c r="C33" s="6" t="s">
        <v>311</v>
      </c>
      <c r="D33" s="18">
        <v>-4582.41</v>
      </c>
    </row>
    <row r="34" spans="1:6" x14ac:dyDescent="0.2">
      <c r="A34" s="13" t="s">
        <v>64</v>
      </c>
      <c r="B34" s="13" t="s">
        <v>286</v>
      </c>
      <c r="C34" s="13" t="s">
        <v>288</v>
      </c>
      <c r="D34" s="19">
        <v>40000</v>
      </c>
      <c r="E34" s="22"/>
      <c r="F34" s="22"/>
    </row>
    <row r="36" spans="1:6" x14ac:dyDescent="0.2">
      <c r="A36" s="10" t="s">
        <v>201</v>
      </c>
    </row>
    <row r="37" spans="1:6" x14ac:dyDescent="0.2">
      <c r="A37" s="21" t="s">
        <v>286</v>
      </c>
      <c r="D37" s="17">
        <f>SUMIFS(D5:D34,D5:D34,"&gt;0")</f>
        <v>237010</v>
      </c>
    </row>
    <row r="38" spans="1:6" x14ac:dyDescent="0.2">
      <c r="A38" s="21" t="s">
        <v>290</v>
      </c>
      <c r="D38" s="17">
        <f>SUMIFS(D5:D34,D5:D34,"&lt;0")</f>
        <v>-92162.38</v>
      </c>
    </row>
    <row r="39" spans="1:6" x14ac:dyDescent="0.2">
      <c r="A39" s="23" t="s">
        <v>312</v>
      </c>
      <c r="D39" s="24">
        <f>SUM(D5:D34)</f>
        <v>144847.62</v>
      </c>
    </row>
    <row r="40" spans="1:6" x14ac:dyDescent="0.2">
      <c r="A40" s="21" t="s">
        <v>313</v>
      </c>
      <c r="D40" s="17">
        <f>SUM(E5:E34)</f>
        <v>-99280.239999999991</v>
      </c>
    </row>
    <row r="41" spans="1:6" x14ac:dyDescent="0.2">
      <c r="A41" s="21" t="s">
        <v>314</v>
      </c>
      <c r="D41" s="17">
        <f>SUM(F5:F34)</f>
        <v>-3474.7999999999997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600"/>
  </sheetPr>
  <dimension ref="A1:J14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22" customWidth="1"/>
    <col min="2" max="4" width="10" customWidth="1"/>
    <col min="5" max="5" width="13" customWidth="1"/>
    <col min="6" max="6" width="10" customWidth="1"/>
    <col min="7" max="7" width="30" customWidth="1"/>
    <col min="8" max="9" width="10" customWidth="1"/>
    <col min="10" max="10" width="35" customWidth="1"/>
  </cols>
  <sheetData>
    <row r="1" spans="1:10" ht="16" x14ac:dyDescent="0.2">
      <c r="A1" s="1" t="s">
        <v>315</v>
      </c>
    </row>
    <row r="2" spans="1:10" x14ac:dyDescent="0.2">
      <c r="A2" s="2" t="s">
        <v>316</v>
      </c>
    </row>
    <row r="4" spans="1:10" x14ac:dyDescent="0.2">
      <c r="A4" s="3" t="s">
        <v>317</v>
      </c>
      <c r="B4" s="3" t="s">
        <v>7</v>
      </c>
      <c r="C4" s="3" t="s">
        <v>318</v>
      </c>
      <c r="D4" s="3" t="s">
        <v>319</v>
      </c>
      <c r="E4" s="3" t="s">
        <v>320</v>
      </c>
      <c r="F4" s="3" t="s">
        <v>321</v>
      </c>
      <c r="G4" s="3" t="s">
        <v>322</v>
      </c>
      <c r="H4" s="3" t="s">
        <v>323</v>
      </c>
      <c r="I4" s="3" t="s">
        <v>324</v>
      </c>
      <c r="J4" s="3" t="s">
        <v>8</v>
      </c>
    </row>
    <row r="5" spans="1:10" x14ac:dyDescent="0.2">
      <c r="A5" s="4" t="s">
        <v>325</v>
      </c>
      <c r="B5" s="20" t="s">
        <v>326</v>
      </c>
      <c r="C5" s="6" t="s">
        <v>327</v>
      </c>
      <c r="D5" s="25">
        <v>2</v>
      </c>
      <c r="E5" s="6" t="s">
        <v>328</v>
      </c>
      <c r="F5" s="26">
        <f ca="1">IFERROR(TODAY()-DATEVALUE(E5),"")</f>
        <v>57</v>
      </c>
      <c r="G5" s="4" t="s">
        <v>329</v>
      </c>
      <c r="H5" s="4" t="s">
        <v>330</v>
      </c>
      <c r="I5" s="26">
        <f ca="1">IF(B5="broken",40,IF(B5="dirty",20+D5,0))+IF(C5&lt;&gt;"main",10,0)+IF(F5&gt;30,5,0)</f>
        <v>27</v>
      </c>
      <c r="J5" s="7" t="s">
        <v>331</v>
      </c>
    </row>
    <row r="6" spans="1:10" x14ac:dyDescent="0.2">
      <c r="A6" s="4" t="s">
        <v>332</v>
      </c>
      <c r="B6" s="20" t="s">
        <v>326</v>
      </c>
      <c r="C6" s="6" t="s">
        <v>327</v>
      </c>
      <c r="D6" s="25">
        <v>5</v>
      </c>
      <c r="E6" s="6" t="s">
        <v>257</v>
      </c>
      <c r="F6" s="26">
        <f ca="1">IFERROR(TODAY()-DATEVALUE(E6),"")</f>
        <v>61</v>
      </c>
      <c r="G6" s="4" t="s">
        <v>333</v>
      </c>
      <c r="H6" s="4" t="s">
        <v>334</v>
      </c>
      <c r="I6" s="26">
        <f ca="1">IF(B6="broken",40,IF(B6="dirty",20+D6,0))+IF(C6&lt;&gt;"main",10,0)+IF(F6&gt;30,5,0)</f>
        <v>30</v>
      </c>
      <c r="J6" s="7" t="s">
        <v>335</v>
      </c>
    </row>
    <row r="8" spans="1:10" x14ac:dyDescent="0.2">
      <c r="A8" s="10" t="s">
        <v>336</v>
      </c>
    </row>
    <row r="9" spans="1:10" x14ac:dyDescent="0.2">
      <c r="A9" s="21" t="s">
        <v>337</v>
      </c>
      <c r="B9" s="4">
        <f>COUNTA(A5:A6)</f>
        <v>2</v>
      </c>
    </row>
    <row r="10" spans="1:10" x14ac:dyDescent="0.2">
      <c r="A10" s="21" t="s">
        <v>338</v>
      </c>
      <c r="B10" s="4">
        <f>COUNTIF(B5:B6,"clean")</f>
        <v>0</v>
      </c>
    </row>
    <row r="11" spans="1:10" x14ac:dyDescent="0.2">
      <c r="A11" s="21" t="s">
        <v>339</v>
      </c>
      <c r="B11" s="4">
        <f>COUNTIF(B5:B6,"dirty")</f>
        <v>2</v>
      </c>
    </row>
    <row r="12" spans="1:10" x14ac:dyDescent="0.2">
      <c r="A12" s="21" t="s">
        <v>340</v>
      </c>
      <c r="B12" s="4">
        <f>COUNTIF(B5:B6,"broken")</f>
        <v>0</v>
      </c>
    </row>
    <row r="14" spans="1:10" x14ac:dyDescent="0.2">
      <c r="A14" s="7" t="s">
        <v>341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6600"/>
  </sheetPr>
  <dimension ref="A1:G15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22" customWidth="1"/>
    <col min="2" max="2" width="10" customWidth="1"/>
    <col min="3" max="3" width="32" customWidth="1"/>
    <col min="4" max="4" width="28" customWidth="1"/>
    <col min="5" max="5" width="32" customWidth="1"/>
    <col min="6" max="6" width="13" customWidth="1"/>
    <col min="7" max="7" width="10" customWidth="1"/>
  </cols>
  <sheetData>
    <row r="1" spans="1:7" ht="16" x14ac:dyDescent="0.2">
      <c r="A1" s="1" t="s">
        <v>342</v>
      </c>
    </row>
    <row r="2" spans="1:7" x14ac:dyDescent="0.2">
      <c r="A2" s="2" t="s">
        <v>343</v>
      </c>
    </row>
    <row r="4" spans="1:7" x14ac:dyDescent="0.2">
      <c r="A4" s="3" t="s">
        <v>344</v>
      </c>
      <c r="B4" s="3" t="s">
        <v>7</v>
      </c>
      <c r="C4" s="3" t="s">
        <v>345</v>
      </c>
      <c r="D4" s="3" t="s">
        <v>346</v>
      </c>
      <c r="E4" s="3" t="s">
        <v>347</v>
      </c>
      <c r="F4" s="3" t="s">
        <v>348</v>
      </c>
      <c r="G4" s="3" t="s">
        <v>349</v>
      </c>
    </row>
    <row r="5" spans="1:7" x14ac:dyDescent="0.2">
      <c r="A5" s="4" t="s">
        <v>325</v>
      </c>
      <c r="B5" s="20" t="s">
        <v>229</v>
      </c>
      <c r="C5" s="20" t="s">
        <v>350</v>
      </c>
      <c r="D5" s="20" t="s">
        <v>351</v>
      </c>
      <c r="E5" s="20" t="s">
        <v>352</v>
      </c>
      <c r="F5" s="6" t="s">
        <v>328</v>
      </c>
      <c r="G5" s="20" t="s">
        <v>218</v>
      </c>
    </row>
    <row r="6" spans="1:7" x14ac:dyDescent="0.2">
      <c r="A6" s="14" t="s">
        <v>332</v>
      </c>
      <c r="B6" s="20" t="s">
        <v>229</v>
      </c>
      <c r="C6" s="20" t="s">
        <v>353</v>
      </c>
      <c r="D6" s="20" t="s">
        <v>351</v>
      </c>
      <c r="E6" s="20" t="s">
        <v>354</v>
      </c>
      <c r="F6" s="13" t="s">
        <v>257</v>
      </c>
      <c r="G6" s="20" t="s">
        <v>218</v>
      </c>
    </row>
    <row r="7" spans="1:7" x14ac:dyDescent="0.2">
      <c r="A7" s="4" t="s">
        <v>355</v>
      </c>
      <c r="B7" s="20" t="s">
        <v>356</v>
      </c>
      <c r="C7" s="20" t="s">
        <v>357</v>
      </c>
      <c r="D7" s="20" t="s">
        <v>358</v>
      </c>
      <c r="E7" s="20" t="s">
        <v>359</v>
      </c>
      <c r="F7" s="6"/>
      <c r="G7" s="20" t="s">
        <v>227</v>
      </c>
    </row>
    <row r="8" spans="1:7" x14ac:dyDescent="0.2">
      <c r="A8" s="14" t="s">
        <v>360</v>
      </c>
      <c r="B8" s="20" t="s">
        <v>356</v>
      </c>
      <c r="C8" s="20" t="s">
        <v>361</v>
      </c>
      <c r="D8" s="20" t="s">
        <v>362</v>
      </c>
      <c r="E8" s="20" t="s">
        <v>363</v>
      </c>
      <c r="F8" s="13"/>
      <c r="G8" s="20" t="s">
        <v>227</v>
      </c>
    </row>
    <row r="9" spans="1:7" x14ac:dyDescent="0.2">
      <c r="A9" s="4" t="s">
        <v>364</v>
      </c>
      <c r="B9" s="20" t="s">
        <v>356</v>
      </c>
      <c r="C9" s="20" t="s">
        <v>365</v>
      </c>
      <c r="D9" s="20" t="s">
        <v>366</v>
      </c>
      <c r="E9" s="20" t="s">
        <v>367</v>
      </c>
      <c r="F9" s="6"/>
      <c r="G9" s="20" t="s">
        <v>248</v>
      </c>
    </row>
    <row r="10" spans="1:7" x14ac:dyDescent="0.2">
      <c r="A10" s="14" t="s">
        <v>368</v>
      </c>
      <c r="B10" s="20" t="s">
        <v>356</v>
      </c>
      <c r="C10" s="20" t="s">
        <v>369</v>
      </c>
      <c r="D10" s="20" t="s">
        <v>370</v>
      </c>
      <c r="E10" s="20" t="s">
        <v>371</v>
      </c>
      <c r="F10" s="13"/>
      <c r="G10" s="20" t="s">
        <v>248</v>
      </c>
    </row>
    <row r="12" spans="1:7" x14ac:dyDescent="0.2">
      <c r="A12" s="10" t="s">
        <v>372</v>
      </c>
    </row>
    <row r="13" spans="1:7" x14ac:dyDescent="0.2">
      <c r="A13" s="4" t="s">
        <v>229</v>
      </c>
      <c r="B13" s="4">
        <f>COUNTIF(B5:B10,"Active")</f>
        <v>2</v>
      </c>
    </row>
    <row r="14" spans="1:7" x14ac:dyDescent="0.2">
      <c r="A14" s="4" t="s">
        <v>356</v>
      </c>
      <c r="B14" s="4">
        <f>COUNTIF(B5:B10,"Paused")</f>
        <v>4</v>
      </c>
    </row>
    <row r="15" spans="1:7" x14ac:dyDescent="0.2">
      <c r="A15" s="4" t="s">
        <v>373</v>
      </c>
      <c r="B15" s="4">
        <f>COUNTIF(B5:B10,"Blocked")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6600"/>
  </sheetPr>
  <dimension ref="A1:D16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28" customWidth="1"/>
    <col min="2" max="2" width="14" customWidth="1"/>
    <col min="3" max="3" width="10" customWidth="1"/>
    <col min="4" max="4" width="50" customWidth="1"/>
  </cols>
  <sheetData>
    <row r="1" spans="1:4" ht="16" x14ac:dyDescent="0.2">
      <c r="A1" s="1" t="s">
        <v>374</v>
      </c>
    </row>
    <row r="2" spans="1:4" x14ac:dyDescent="0.2">
      <c r="A2" s="2" t="s">
        <v>375</v>
      </c>
    </row>
    <row r="4" spans="1:4" x14ac:dyDescent="0.2">
      <c r="A4" s="3" t="s">
        <v>376</v>
      </c>
      <c r="B4" s="3" t="s">
        <v>377</v>
      </c>
      <c r="C4" s="3" t="s">
        <v>378</v>
      </c>
      <c r="D4" s="3" t="s">
        <v>8</v>
      </c>
    </row>
    <row r="5" spans="1:4" x14ac:dyDescent="0.2">
      <c r="A5" s="4" t="s">
        <v>379</v>
      </c>
      <c r="B5" s="5">
        <v>20000</v>
      </c>
      <c r="C5" s="4" t="s">
        <v>83</v>
      </c>
      <c r="D5" s="7" t="s">
        <v>380</v>
      </c>
    </row>
    <row r="6" spans="1:4" x14ac:dyDescent="0.2">
      <c r="A6" s="14" t="s">
        <v>381</v>
      </c>
      <c r="B6" s="5">
        <v>8000</v>
      </c>
      <c r="C6" s="14" t="s">
        <v>83</v>
      </c>
      <c r="D6" s="16" t="s">
        <v>382</v>
      </c>
    </row>
    <row r="7" spans="1:4" x14ac:dyDescent="0.2">
      <c r="A7" s="4" t="s">
        <v>383</v>
      </c>
      <c r="B7" s="5">
        <v>500</v>
      </c>
      <c r="C7" s="4" t="s">
        <v>384</v>
      </c>
      <c r="D7" s="7" t="s">
        <v>385</v>
      </c>
    </row>
    <row r="8" spans="1:4" x14ac:dyDescent="0.2">
      <c r="A8" s="14" t="s">
        <v>386</v>
      </c>
      <c r="B8" s="27">
        <v>30</v>
      </c>
      <c r="C8" s="14" t="s">
        <v>387</v>
      </c>
      <c r="D8" s="16" t="s">
        <v>388</v>
      </c>
    </row>
    <row r="9" spans="1:4" x14ac:dyDescent="0.2">
      <c r="A9" s="4" t="s">
        <v>389</v>
      </c>
      <c r="B9" s="5">
        <v>4.9000000000000004</v>
      </c>
      <c r="C9" s="4" t="s">
        <v>390</v>
      </c>
      <c r="D9" s="7" t="s">
        <v>391</v>
      </c>
    </row>
    <row r="10" spans="1:4" x14ac:dyDescent="0.2">
      <c r="A10" s="14" t="s">
        <v>392</v>
      </c>
      <c r="B10" s="5">
        <v>5.4</v>
      </c>
      <c r="C10" s="14" t="s">
        <v>390</v>
      </c>
      <c r="D10" s="16" t="s">
        <v>393</v>
      </c>
    </row>
    <row r="11" spans="1:4" x14ac:dyDescent="0.2">
      <c r="A11" s="4" t="s">
        <v>394</v>
      </c>
      <c r="B11" s="5">
        <v>365.8</v>
      </c>
      <c r="C11" s="4" t="s">
        <v>384</v>
      </c>
      <c r="D11" s="7" t="s">
        <v>395</v>
      </c>
    </row>
    <row r="12" spans="1:4" x14ac:dyDescent="0.2">
      <c r="A12" s="14" t="s">
        <v>396</v>
      </c>
      <c r="B12" s="27">
        <v>7</v>
      </c>
      <c r="C12" s="14" t="s">
        <v>387</v>
      </c>
      <c r="D12" s="16" t="s">
        <v>397</v>
      </c>
    </row>
    <row r="13" spans="1:4" x14ac:dyDescent="0.2">
      <c r="A13" s="4" t="s">
        <v>398</v>
      </c>
      <c r="B13" s="27">
        <v>14</v>
      </c>
      <c r="C13" s="4" t="s">
        <v>387</v>
      </c>
      <c r="D13" s="7" t="s">
        <v>399</v>
      </c>
    </row>
    <row r="14" spans="1:4" x14ac:dyDescent="0.2">
      <c r="A14" s="14" t="s">
        <v>400</v>
      </c>
      <c r="B14" s="20" t="s">
        <v>83</v>
      </c>
      <c r="C14" s="14"/>
      <c r="D14" s="16" t="s">
        <v>401</v>
      </c>
    </row>
    <row r="15" spans="1:4" x14ac:dyDescent="0.2">
      <c r="A15" s="4" t="s">
        <v>402</v>
      </c>
      <c r="B15" s="20" t="s">
        <v>403</v>
      </c>
      <c r="C15" s="4"/>
      <c r="D15" s="7" t="s">
        <v>28</v>
      </c>
    </row>
    <row r="16" spans="1:4" x14ac:dyDescent="0.2">
      <c r="A16" s="14" t="s">
        <v>404</v>
      </c>
      <c r="B16" s="20" t="s">
        <v>287</v>
      </c>
      <c r="C16" s="14"/>
      <c r="D16" s="16" t="s">
        <v>405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6600"/>
  </sheetPr>
  <dimension ref="A1:I22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12" customWidth="1"/>
    <col min="2" max="2" width="14" customWidth="1"/>
    <col min="3" max="3" width="6" customWidth="1"/>
    <col min="4" max="5" width="14" customWidth="1"/>
    <col min="6" max="6" width="16" customWidth="1"/>
    <col min="7" max="7" width="14" customWidth="1"/>
    <col min="8" max="8" width="12" customWidth="1"/>
    <col min="9" max="9" width="16" customWidth="1"/>
  </cols>
  <sheetData>
    <row r="1" spans="1:9" ht="16" x14ac:dyDescent="0.2">
      <c r="A1" s="1" t="s">
        <v>406</v>
      </c>
    </row>
    <row r="2" spans="1:9" x14ac:dyDescent="0.2">
      <c r="A2" s="2" t="s">
        <v>407</v>
      </c>
    </row>
    <row r="4" spans="1:9" x14ac:dyDescent="0.2">
      <c r="A4" s="3" t="s">
        <v>408</v>
      </c>
      <c r="B4" s="3" t="s">
        <v>409</v>
      </c>
      <c r="C4" s="3" t="s">
        <v>410</v>
      </c>
      <c r="D4" s="3" t="s">
        <v>286</v>
      </c>
      <c r="E4" s="3" t="s">
        <v>290</v>
      </c>
      <c r="F4" s="3" t="s">
        <v>411</v>
      </c>
      <c r="G4" s="3" t="s">
        <v>412</v>
      </c>
      <c r="H4" s="3" t="s">
        <v>301</v>
      </c>
      <c r="I4" s="3" t="s">
        <v>413</v>
      </c>
    </row>
    <row r="5" spans="1:9" x14ac:dyDescent="0.2">
      <c r="A5" s="4" t="s">
        <v>414</v>
      </c>
      <c r="B5" s="5">
        <v>3745.4</v>
      </c>
      <c r="C5" s="28">
        <v>18</v>
      </c>
      <c r="D5" s="5">
        <v>0</v>
      </c>
      <c r="E5" s="5">
        <v>0</v>
      </c>
      <c r="F5" s="5">
        <v>31949.9</v>
      </c>
      <c r="G5" s="5">
        <v>1071.22</v>
      </c>
      <c r="H5" s="5">
        <v>0</v>
      </c>
      <c r="I5" s="5">
        <v>-34624.080000000002</v>
      </c>
    </row>
    <row r="6" spans="1:9" x14ac:dyDescent="0.2">
      <c r="A6" s="14" t="s">
        <v>115</v>
      </c>
      <c r="B6" s="5">
        <v>9515.9</v>
      </c>
      <c r="C6" s="28">
        <v>21</v>
      </c>
      <c r="D6" s="5">
        <v>40000</v>
      </c>
      <c r="E6" s="5">
        <v>0</v>
      </c>
      <c r="F6" s="5">
        <v>31658.75</v>
      </c>
      <c r="G6" s="5">
        <v>0</v>
      </c>
      <c r="H6" s="5">
        <v>0</v>
      </c>
      <c r="I6" s="5">
        <v>-1174.6500000000001</v>
      </c>
    </row>
    <row r="7" spans="1:9" x14ac:dyDescent="0.2">
      <c r="A7" s="4" t="s">
        <v>151</v>
      </c>
      <c r="B7" s="5">
        <v>14231.47</v>
      </c>
      <c r="C7" s="28">
        <v>32</v>
      </c>
      <c r="D7" s="5">
        <v>0</v>
      </c>
      <c r="E7" s="5">
        <v>11432.41</v>
      </c>
      <c r="F7" s="5">
        <v>47864.68</v>
      </c>
      <c r="G7" s="5">
        <v>0</v>
      </c>
      <c r="H7" s="5">
        <v>0</v>
      </c>
      <c r="I7" s="5">
        <v>-73528.56</v>
      </c>
    </row>
    <row r="8" spans="1:9" x14ac:dyDescent="0.2">
      <c r="A8" s="14" t="s">
        <v>162</v>
      </c>
      <c r="B8" s="5">
        <v>5330.44</v>
      </c>
      <c r="C8" s="28">
        <v>33</v>
      </c>
      <c r="D8" s="5">
        <v>40000</v>
      </c>
      <c r="E8" s="5">
        <v>10330</v>
      </c>
      <c r="F8" s="5">
        <v>15878.08</v>
      </c>
      <c r="G8" s="5">
        <v>503.62</v>
      </c>
      <c r="H8" s="5">
        <v>0</v>
      </c>
      <c r="I8" s="5">
        <v>8965.1</v>
      </c>
    </row>
    <row r="9" spans="1:9" x14ac:dyDescent="0.2">
      <c r="A9" s="4" t="s">
        <v>179</v>
      </c>
      <c r="B9" s="5">
        <v>3308.38</v>
      </c>
      <c r="C9" s="28">
        <v>29</v>
      </c>
      <c r="D9" s="5">
        <v>115000</v>
      </c>
      <c r="E9" s="5">
        <v>69919.97</v>
      </c>
      <c r="F9" s="5">
        <v>195934.86</v>
      </c>
      <c r="G9" s="5">
        <v>202734.87</v>
      </c>
      <c r="H9" s="5">
        <v>3474.8</v>
      </c>
      <c r="I9" s="5">
        <v>45046.86</v>
      </c>
    </row>
    <row r="10" spans="1:9" x14ac:dyDescent="0.2">
      <c r="A10" s="14" t="s">
        <v>191</v>
      </c>
      <c r="B10" s="5">
        <v>1114.17</v>
      </c>
      <c r="C10" s="28">
        <v>13</v>
      </c>
      <c r="D10" s="5">
        <v>42010</v>
      </c>
      <c r="E10" s="5">
        <v>480</v>
      </c>
      <c r="F10" s="5">
        <v>329502.34000000003</v>
      </c>
      <c r="G10" s="5">
        <v>268019.69</v>
      </c>
      <c r="H10" s="5">
        <v>0</v>
      </c>
      <c r="I10" s="5">
        <v>-20586.82</v>
      </c>
    </row>
    <row r="11" spans="1:9" x14ac:dyDescent="0.2">
      <c r="A11" s="8" t="s">
        <v>415</v>
      </c>
      <c r="B11" s="9">
        <f t="shared" ref="B11:I11" si="0">SUM(B5:B10)</f>
        <v>37245.759999999995</v>
      </c>
      <c r="C11" s="29">
        <f t="shared" si="0"/>
        <v>146</v>
      </c>
      <c r="D11" s="9">
        <f t="shared" si="0"/>
        <v>237010</v>
      </c>
      <c r="E11" s="9">
        <f t="shared" si="0"/>
        <v>92162.38</v>
      </c>
      <c r="F11" s="9">
        <f t="shared" si="0"/>
        <v>652788.6100000001</v>
      </c>
      <c r="G11" s="9">
        <f t="shared" si="0"/>
        <v>472329.4</v>
      </c>
      <c r="H11" s="9">
        <f t="shared" si="0"/>
        <v>3474.8</v>
      </c>
      <c r="I11" s="9">
        <f t="shared" si="0"/>
        <v>-75902.149999999994</v>
      </c>
    </row>
    <row r="12" spans="1:9" x14ac:dyDescent="0.2">
      <c r="A12" s="21" t="s">
        <v>416</v>
      </c>
      <c r="B12" s="17">
        <f>B11/6</f>
        <v>6207.6266666666661</v>
      </c>
      <c r="D12" s="17">
        <f>D11/6</f>
        <v>39501.666666666664</v>
      </c>
      <c r="E12" s="17">
        <f>E11/6</f>
        <v>15360.396666666667</v>
      </c>
      <c r="F12" s="17">
        <f>F11/6</f>
        <v>108798.10166666668</v>
      </c>
      <c r="G12" s="17">
        <f>G11/6</f>
        <v>78721.566666666666</v>
      </c>
      <c r="I12" s="17">
        <f>I11/6</f>
        <v>-12650.358333333332</v>
      </c>
    </row>
    <row r="15" spans="1:9" x14ac:dyDescent="0.2">
      <c r="A15" s="10" t="s">
        <v>417</v>
      </c>
    </row>
    <row r="16" spans="1:9" x14ac:dyDescent="0.2">
      <c r="A16" s="11" t="s">
        <v>408</v>
      </c>
      <c r="B16" s="11" t="s">
        <v>418</v>
      </c>
      <c r="C16" s="11" t="s">
        <v>419</v>
      </c>
      <c r="D16" s="11" t="s">
        <v>420</v>
      </c>
      <c r="E16" s="11" t="s">
        <v>50</v>
      </c>
    </row>
    <row r="17" spans="1:5" x14ac:dyDescent="0.2">
      <c r="A17" s="4" t="s">
        <v>191</v>
      </c>
      <c r="B17" s="17">
        <v>1114.17</v>
      </c>
      <c r="C17" s="17">
        <v>3308.38</v>
      </c>
      <c r="D17" s="30">
        <f t="shared" ref="D17:D22" si="1">IFERROR((B17-C17)/C17,0)</f>
        <v>-0.66322792424086707</v>
      </c>
      <c r="E17" s="4" t="str">
        <f t="shared" ref="E17:E22" si="2">IF(D17&lt;0,"▼ Lower","▲ Higher")</f>
        <v>▼ Lower</v>
      </c>
    </row>
    <row r="18" spans="1:5" x14ac:dyDescent="0.2">
      <c r="A18" s="4" t="s">
        <v>179</v>
      </c>
      <c r="B18" s="17">
        <v>3308.38</v>
      </c>
      <c r="C18" s="17">
        <v>5330.44</v>
      </c>
      <c r="D18" s="30">
        <f t="shared" si="1"/>
        <v>-0.37934204305835911</v>
      </c>
      <c r="E18" s="4" t="str">
        <f t="shared" si="2"/>
        <v>▼ Lower</v>
      </c>
    </row>
    <row r="19" spans="1:5" x14ac:dyDescent="0.2">
      <c r="A19" s="4" t="s">
        <v>162</v>
      </c>
      <c r="B19" s="17">
        <v>5330.44</v>
      </c>
      <c r="C19" s="17">
        <v>14231.47</v>
      </c>
      <c r="D19" s="30">
        <f t="shared" si="1"/>
        <v>-0.62544698474577809</v>
      </c>
      <c r="E19" s="4" t="str">
        <f t="shared" si="2"/>
        <v>▼ Lower</v>
      </c>
    </row>
    <row r="20" spans="1:5" x14ac:dyDescent="0.2">
      <c r="A20" s="4" t="s">
        <v>151</v>
      </c>
      <c r="B20" s="17">
        <v>14231.47</v>
      </c>
      <c r="C20" s="17">
        <v>9515.9</v>
      </c>
      <c r="D20" s="30">
        <f t="shared" si="1"/>
        <v>0.49554640128626826</v>
      </c>
      <c r="E20" s="4" t="str">
        <f t="shared" si="2"/>
        <v>▲ Higher</v>
      </c>
    </row>
    <row r="21" spans="1:5" x14ac:dyDescent="0.2">
      <c r="A21" s="4" t="s">
        <v>115</v>
      </c>
      <c r="B21" s="17">
        <v>9515.9</v>
      </c>
      <c r="C21" s="17">
        <v>3745.4</v>
      </c>
      <c r="D21" s="30">
        <f t="shared" si="1"/>
        <v>1.5406899129598974</v>
      </c>
      <c r="E21" s="4" t="str">
        <f t="shared" si="2"/>
        <v>▲ Higher</v>
      </c>
    </row>
    <row r="22" spans="1:5" x14ac:dyDescent="0.2">
      <c r="A22" s="4" t="s">
        <v>414</v>
      </c>
      <c r="B22" s="17">
        <v>3745.4</v>
      </c>
      <c r="C22" s="17">
        <v>0</v>
      </c>
      <c r="D22" s="30">
        <f t="shared" si="1"/>
        <v>0</v>
      </c>
      <c r="E22" s="4" t="str">
        <f t="shared" si="2"/>
        <v>▲ Higher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6600"/>
  </sheetPr>
  <dimension ref="A1:F22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18" customWidth="1"/>
    <col min="2" max="2" width="14" customWidth="1"/>
    <col min="3" max="3" width="10" customWidth="1"/>
    <col min="4" max="4" width="14" customWidth="1"/>
    <col min="5" max="5" width="6" customWidth="1"/>
    <col min="6" max="6" width="18" customWidth="1"/>
  </cols>
  <sheetData>
    <row r="1" spans="1:6" ht="16" x14ac:dyDescent="0.2">
      <c r="A1" s="1" t="s">
        <v>421</v>
      </c>
    </row>
    <row r="2" spans="1:6" x14ac:dyDescent="0.2">
      <c r="A2" s="2" t="s">
        <v>422</v>
      </c>
    </row>
    <row r="4" spans="1:6" x14ac:dyDescent="0.2">
      <c r="A4" s="3" t="s">
        <v>112</v>
      </c>
      <c r="B4" s="3" t="s">
        <v>423</v>
      </c>
      <c r="C4" s="3" t="s">
        <v>424</v>
      </c>
      <c r="D4" s="3" t="s">
        <v>425</v>
      </c>
      <c r="E4" s="3" t="s">
        <v>410</v>
      </c>
      <c r="F4" s="3" t="s">
        <v>426</v>
      </c>
    </row>
    <row r="5" spans="1:6" x14ac:dyDescent="0.2">
      <c r="A5" s="4" t="s">
        <v>168</v>
      </c>
      <c r="B5" s="12">
        <v>9036.83</v>
      </c>
      <c r="C5" s="30">
        <v>0.24260000000000001</v>
      </c>
      <c r="D5" s="17">
        <v>1506.14</v>
      </c>
      <c r="E5" s="4">
        <v>1</v>
      </c>
      <c r="F5" s="4" t="s">
        <v>427</v>
      </c>
    </row>
    <row r="6" spans="1:6" x14ac:dyDescent="0.2">
      <c r="A6" s="14" t="s">
        <v>153</v>
      </c>
      <c r="B6" s="15">
        <v>8744.68</v>
      </c>
      <c r="C6" s="31">
        <v>0.23480000000000001</v>
      </c>
      <c r="D6" s="32">
        <v>1457.45</v>
      </c>
      <c r="E6" s="14">
        <v>9</v>
      </c>
      <c r="F6" s="14" t="s">
        <v>427</v>
      </c>
    </row>
    <row r="7" spans="1:6" x14ac:dyDescent="0.2">
      <c r="A7" s="4" t="s">
        <v>121</v>
      </c>
      <c r="B7" s="12">
        <v>6624.36</v>
      </c>
      <c r="C7" s="30">
        <v>0.1779</v>
      </c>
      <c r="D7" s="17">
        <v>1104.06</v>
      </c>
      <c r="E7" s="4">
        <v>37</v>
      </c>
      <c r="F7" s="4" t="s">
        <v>428</v>
      </c>
    </row>
    <row r="8" spans="1:6" x14ac:dyDescent="0.2">
      <c r="A8" s="14" t="s">
        <v>134</v>
      </c>
      <c r="B8" s="15">
        <v>6455.1</v>
      </c>
      <c r="C8" s="31">
        <v>0.17330000000000001</v>
      </c>
      <c r="D8" s="32">
        <v>1075.8499999999999</v>
      </c>
      <c r="E8" s="14">
        <v>39</v>
      </c>
      <c r="F8" s="14" t="s">
        <v>428</v>
      </c>
    </row>
    <row r="9" spans="1:6" x14ac:dyDescent="0.2">
      <c r="A9" s="4" t="s">
        <v>143</v>
      </c>
      <c r="B9" s="12">
        <v>2235.58</v>
      </c>
      <c r="C9" s="30">
        <v>0.06</v>
      </c>
      <c r="D9" s="17">
        <v>372.6</v>
      </c>
      <c r="E9" s="4">
        <v>9</v>
      </c>
      <c r="F9" s="4" t="s">
        <v>429</v>
      </c>
    </row>
    <row r="10" spans="1:6" x14ac:dyDescent="0.2">
      <c r="A10" s="14" t="s">
        <v>131</v>
      </c>
      <c r="B10" s="15">
        <v>1413.12</v>
      </c>
      <c r="C10" s="31">
        <v>3.7900000000000003E-2</v>
      </c>
      <c r="D10" s="32">
        <v>235.52</v>
      </c>
      <c r="E10" s="14">
        <v>6</v>
      </c>
      <c r="F10" s="14" t="s">
        <v>430</v>
      </c>
    </row>
    <row r="11" spans="1:6" x14ac:dyDescent="0.2">
      <c r="A11" s="4" t="s">
        <v>124</v>
      </c>
      <c r="B11" s="12">
        <v>1227.5</v>
      </c>
      <c r="C11" s="30">
        <v>3.3000000000000002E-2</v>
      </c>
      <c r="D11" s="17">
        <v>204.58</v>
      </c>
      <c r="E11" s="4">
        <v>19</v>
      </c>
      <c r="F11" s="4" t="s">
        <v>427</v>
      </c>
    </row>
    <row r="12" spans="1:6" x14ac:dyDescent="0.2">
      <c r="A12" s="14" t="s">
        <v>117</v>
      </c>
      <c r="B12" s="15">
        <v>1217.92</v>
      </c>
      <c r="C12" s="31">
        <v>3.27E-2</v>
      </c>
      <c r="D12" s="32">
        <v>202.99</v>
      </c>
      <c r="E12" s="14">
        <v>14</v>
      </c>
      <c r="F12" s="14" t="s">
        <v>430</v>
      </c>
    </row>
    <row r="13" spans="1:6" x14ac:dyDescent="0.2">
      <c r="A13" s="4" t="s">
        <v>431</v>
      </c>
      <c r="B13" s="12">
        <v>205.34</v>
      </c>
      <c r="C13" s="30">
        <v>5.4999999999999997E-3</v>
      </c>
      <c r="D13" s="17">
        <v>34.22</v>
      </c>
      <c r="E13" s="4">
        <v>10</v>
      </c>
      <c r="F13" s="4" t="s">
        <v>427</v>
      </c>
    </row>
    <row r="14" spans="1:6" x14ac:dyDescent="0.2">
      <c r="A14" s="14" t="s">
        <v>199</v>
      </c>
      <c r="B14" s="15">
        <v>74.430000000000007</v>
      </c>
      <c r="C14" s="31">
        <v>2E-3</v>
      </c>
      <c r="D14" s="32">
        <v>12.41</v>
      </c>
      <c r="E14" s="14">
        <v>1</v>
      </c>
      <c r="F14" s="14" t="s">
        <v>430</v>
      </c>
    </row>
    <row r="15" spans="1:6" x14ac:dyDescent="0.2">
      <c r="A15" s="4" t="s">
        <v>10</v>
      </c>
      <c r="B15" s="12">
        <v>10.9</v>
      </c>
      <c r="C15" s="30">
        <v>2.9999999999999997E-4</v>
      </c>
      <c r="D15" s="17">
        <v>1.82</v>
      </c>
      <c r="E15" s="4">
        <v>1</v>
      </c>
      <c r="F15" s="4" t="s">
        <v>429</v>
      </c>
    </row>
    <row r="16" spans="1:6" x14ac:dyDescent="0.2">
      <c r="A16" s="8" t="s">
        <v>202</v>
      </c>
      <c r="B16" s="9">
        <f>SUM(B5:B15)</f>
        <v>37245.760000000002</v>
      </c>
      <c r="E16" s="8">
        <f>SUM(E5:E15)</f>
        <v>146</v>
      </c>
    </row>
    <row r="18" spans="1:3" x14ac:dyDescent="0.2">
      <c r="A18" s="10" t="s">
        <v>432</v>
      </c>
    </row>
    <row r="19" spans="1:3" x14ac:dyDescent="0.2">
      <c r="A19" s="21" t="s">
        <v>430</v>
      </c>
      <c r="B19" s="17">
        <f>SUMIFS(B5:B15,F5:F15,"✅ Essential")</f>
        <v>2705.47</v>
      </c>
      <c r="C19" s="30">
        <f>IFERROR(B19/B16,0)</f>
        <v>7.2638335209162047E-2</v>
      </c>
    </row>
    <row r="20" spans="1:3" x14ac:dyDescent="0.2">
      <c r="A20" s="21" t="s">
        <v>427</v>
      </c>
      <c r="B20" s="17">
        <f>SUMIFS(B5:B15,F5:F15,"💡 Discretionary")</f>
        <v>19214.350000000002</v>
      </c>
      <c r="C20" s="30">
        <f>IFERROR(B20/B16,0)</f>
        <v>0.5158801968331429</v>
      </c>
    </row>
    <row r="21" spans="1:3" x14ac:dyDescent="0.2">
      <c r="A21" s="21" t="s">
        <v>428</v>
      </c>
      <c r="B21" s="17">
        <f>SUMIFS(B5:B15,F5:F15,"⚠ Review")</f>
        <v>13079.46</v>
      </c>
      <c r="C21" s="30">
        <f>IFERROR(B21/B16,0)</f>
        <v>0.35116641464692888</v>
      </c>
    </row>
    <row r="22" spans="1:3" x14ac:dyDescent="0.2">
      <c r="A22" s="21" t="s">
        <v>429</v>
      </c>
      <c r="B22" s="17">
        <f>SUMIFS(B5:B15,F5:F15,"❓ Unknown")</f>
        <v>2246.48</v>
      </c>
      <c r="C22" s="30">
        <f>IFERROR(B22/B16,0)</f>
        <v>6.0315053310766108E-2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6600"/>
  </sheetPr>
  <dimension ref="A1:G22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5" x14ac:dyDescent="0.2"/>
  <cols>
    <col min="1" max="1" width="4" customWidth="1"/>
    <col min="2" max="2" width="10" customWidth="1"/>
    <col min="3" max="3" width="20" customWidth="1"/>
    <col min="4" max="4" width="55" customWidth="1"/>
    <col min="5" max="5" width="14" customWidth="1"/>
    <col min="6" max="6" width="50" customWidth="1"/>
    <col min="7" max="7" width="12" customWidth="1"/>
  </cols>
  <sheetData>
    <row r="1" spans="1:7" ht="16" x14ac:dyDescent="0.2">
      <c r="A1" s="1" t="s">
        <v>433</v>
      </c>
    </row>
    <row r="2" spans="1:7" x14ac:dyDescent="0.2">
      <c r="A2" s="2" t="s">
        <v>434</v>
      </c>
    </row>
    <row r="4" spans="1:7" x14ac:dyDescent="0.2">
      <c r="A4" s="3" t="s">
        <v>108</v>
      </c>
      <c r="B4" s="3" t="s">
        <v>435</v>
      </c>
      <c r="C4" s="3" t="s">
        <v>436</v>
      </c>
      <c r="D4" s="3" t="s">
        <v>437</v>
      </c>
      <c r="E4" s="3" t="s">
        <v>438</v>
      </c>
      <c r="F4" s="3" t="s">
        <v>439</v>
      </c>
      <c r="G4" s="3" t="s">
        <v>7</v>
      </c>
    </row>
    <row r="5" spans="1:7" x14ac:dyDescent="0.2">
      <c r="A5" s="4">
        <v>1</v>
      </c>
      <c r="B5" s="4" t="s">
        <v>440</v>
      </c>
      <c r="C5" s="4" t="s">
        <v>441</v>
      </c>
      <c r="D5" s="4" t="s">
        <v>442</v>
      </c>
      <c r="E5" s="17">
        <v>4389.6000000000004</v>
      </c>
      <c r="F5" s="7" t="s">
        <v>443</v>
      </c>
      <c r="G5" s="20" t="s">
        <v>221</v>
      </c>
    </row>
    <row r="6" spans="1:7" x14ac:dyDescent="0.2">
      <c r="A6" s="14">
        <v>2</v>
      </c>
      <c r="B6" s="14" t="s">
        <v>440</v>
      </c>
      <c r="C6" s="14" t="s">
        <v>444</v>
      </c>
      <c r="D6" s="14" t="s">
        <v>445</v>
      </c>
      <c r="E6" s="32">
        <v>652788.61</v>
      </c>
      <c r="F6" s="16" t="s">
        <v>446</v>
      </c>
      <c r="G6" s="20" t="s">
        <v>221</v>
      </c>
    </row>
    <row r="7" spans="1:7" x14ac:dyDescent="0.2">
      <c r="A7" s="4">
        <v>3</v>
      </c>
      <c r="B7" s="4" t="s">
        <v>440</v>
      </c>
      <c r="C7" s="4" t="s">
        <v>447</v>
      </c>
      <c r="D7" s="4" t="s">
        <v>448</v>
      </c>
      <c r="E7" s="17">
        <v>7763.28</v>
      </c>
      <c r="F7" s="7" t="s">
        <v>449</v>
      </c>
      <c r="G7" s="20" t="s">
        <v>221</v>
      </c>
    </row>
    <row r="8" spans="1:7" x14ac:dyDescent="0.2">
      <c r="A8" s="14">
        <v>4</v>
      </c>
      <c r="B8" s="14" t="s">
        <v>218</v>
      </c>
      <c r="C8" s="14" t="s">
        <v>450</v>
      </c>
      <c r="D8" s="14" t="s">
        <v>451</v>
      </c>
      <c r="E8" s="32">
        <v>23196.9</v>
      </c>
      <c r="F8" s="16" t="s">
        <v>452</v>
      </c>
      <c r="G8" s="20" t="s">
        <v>221</v>
      </c>
    </row>
    <row r="9" spans="1:7" x14ac:dyDescent="0.2">
      <c r="A9" s="4">
        <v>5</v>
      </c>
      <c r="B9" s="4" t="s">
        <v>218</v>
      </c>
      <c r="C9" s="4" t="s">
        <v>453</v>
      </c>
      <c r="D9" s="4" t="s">
        <v>454</v>
      </c>
      <c r="E9" s="17">
        <v>3474.8</v>
      </c>
      <c r="F9" s="7" t="s">
        <v>455</v>
      </c>
      <c r="G9" s="20" t="s">
        <v>221</v>
      </c>
    </row>
    <row r="10" spans="1:7" x14ac:dyDescent="0.2">
      <c r="A10" s="14">
        <v>6</v>
      </c>
      <c r="B10" s="14" t="s">
        <v>218</v>
      </c>
      <c r="C10" s="14" t="s">
        <v>456</v>
      </c>
      <c r="D10" s="14" t="s">
        <v>457</v>
      </c>
      <c r="E10" s="32">
        <v>19195.810000000001</v>
      </c>
      <c r="F10" s="16" t="s">
        <v>458</v>
      </c>
      <c r="G10" s="20" t="s">
        <v>221</v>
      </c>
    </row>
    <row r="11" spans="1:7" x14ac:dyDescent="0.2">
      <c r="A11" s="4">
        <v>7</v>
      </c>
      <c r="B11" s="4" t="s">
        <v>218</v>
      </c>
      <c r="C11" s="4" t="s">
        <v>459</v>
      </c>
      <c r="D11" s="4" t="s">
        <v>460</v>
      </c>
      <c r="E11" s="17">
        <v>6455.1</v>
      </c>
      <c r="F11" s="7" t="s">
        <v>461</v>
      </c>
      <c r="G11" s="20" t="s">
        <v>221</v>
      </c>
    </row>
    <row r="12" spans="1:7" x14ac:dyDescent="0.2">
      <c r="A12" s="14">
        <v>8</v>
      </c>
      <c r="B12" s="14" t="s">
        <v>227</v>
      </c>
      <c r="C12" s="14" t="s">
        <v>462</v>
      </c>
      <c r="D12" s="14" t="s">
        <v>463</v>
      </c>
      <c r="E12" s="32">
        <v>6624.36</v>
      </c>
      <c r="F12" s="16" t="s">
        <v>464</v>
      </c>
      <c r="G12" s="20" t="s">
        <v>221</v>
      </c>
    </row>
    <row r="13" spans="1:7" x14ac:dyDescent="0.2">
      <c r="A13" s="4">
        <v>9</v>
      </c>
      <c r="B13" s="4" t="s">
        <v>227</v>
      </c>
      <c r="C13" s="4" t="s">
        <v>465</v>
      </c>
      <c r="D13" s="4" t="s">
        <v>466</v>
      </c>
      <c r="E13" s="17">
        <v>9036.83</v>
      </c>
      <c r="F13" s="7" t="s">
        <v>467</v>
      </c>
      <c r="G13" s="20" t="s">
        <v>221</v>
      </c>
    </row>
    <row r="14" spans="1:7" x14ac:dyDescent="0.2">
      <c r="A14" s="14">
        <v>10</v>
      </c>
      <c r="B14" s="14" t="s">
        <v>227</v>
      </c>
      <c r="C14" s="14" t="s">
        <v>468</v>
      </c>
      <c r="D14" s="14" t="s">
        <v>469</v>
      </c>
      <c r="E14" s="32">
        <v>31570.45</v>
      </c>
      <c r="F14" s="16" t="s">
        <v>470</v>
      </c>
      <c r="G14" s="20" t="s">
        <v>221</v>
      </c>
    </row>
    <row r="15" spans="1:7" x14ac:dyDescent="0.2">
      <c r="A15" s="4">
        <v>11</v>
      </c>
      <c r="B15" s="4" t="s">
        <v>248</v>
      </c>
      <c r="C15" s="4" t="s">
        <v>74</v>
      </c>
      <c r="D15" s="4" t="s">
        <v>471</v>
      </c>
      <c r="E15" s="17"/>
      <c r="F15" s="7" t="s">
        <v>472</v>
      </c>
      <c r="G15" s="20" t="s">
        <v>473</v>
      </c>
    </row>
    <row r="16" spans="1:7" x14ac:dyDescent="0.2">
      <c r="A16" s="14">
        <v>12</v>
      </c>
      <c r="B16" s="14" t="s">
        <v>248</v>
      </c>
      <c r="C16" s="14" t="s">
        <v>474</v>
      </c>
      <c r="D16" s="14" t="s">
        <v>475</v>
      </c>
      <c r="E16" s="32">
        <v>45000</v>
      </c>
      <c r="F16" s="16" t="s">
        <v>476</v>
      </c>
      <c r="G16" s="20" t="s">
        <v>221</v>
      </c>
    </row>
    <row r="18" spans="1:4" x14ac:dyDescent="0.2">
      <c r="A18" s="10" t="s">
        <v>372</v>
      </c>
      <c r="C18" s="33" t="s">
        <v>477</v>
      </c>
      <c r="D18" s="33" t="s">
        <v>221</v>
      </c>
    </row>
    <row r="19" spans="1:4" x14ac:dyDescent="0.2">
      <c r="B19" s="4" t="s">
        <v>440</v>
      </c>
      <c r="C19" s="33">
        <f>COUNTIF(B5:B16,"CRITICAL")</f>
        <v>3</v>
      </c>
      <c r="D19" s="4">
        <f>COUNTIFS(B5:B16,"CRITICAL",G5:G16,"Pending")</f>
        <v>3</v>
      </c>
    </row>
    <row r="20" spans="1:4" x14ac:dyDescent="0.2">
      <c r="B20" s="4" t="s">
        <v>218</v>
      </c>
      <c r="C20" s="4">
        <f>COUNTIF(B5:B16,"HIGH")</f>
        <v>4</v>
      </c>
      <c r="D20" s="4">
        <f>COUNTIFS(B5:B16,"HIGH",G5:G16,"Pending")</f>
        <v>4</v>
      </c>
    </row>
    <row r="21" spans="1:4" x14ac:dyDescent="0.2">
      <c r="B21" s="4" t="s">
        <v>227</v>
      </c>
      <c r="C21" s="4">
        <f>COUNTIF(B5:B16,"MEDIUM")</f>
        <v>3</v>
      </c>
      <c r="D21" s="4">
        <f>COUNTIFS(B5:B16,"MEDIUM",G5:G16,"Pending")</f>
        <v>3</v>
      </c>
    </row>
    <row r="22" spans="1:4" x14ac:dyDescent="0.2">
      <c r="B22" s="4" t="s">
        <v>248</v>
      </c>
      <c r="C22" s="4">
        <f>COUNTIF(B5:B16,"LOW")</f>
        <v>2</v>
      </c>
      <c r="D22" s="4">
        <f>COUNTIFS(B5:B16,"LOW",G5:G16,"Pending")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TERMINAL</vt:lpstr>
      <vt:lpstr>INFRA_CHANGES</vt:lpstr>
      <vt:lpstr>BALANCES</vt:lpstr>
      <vt:lpstr>FX_OPS</vt:lpstr>
      <vt:lpstr>TRANSACTIONS</vt:lpstr>
      <vt:lpstr>SUBSCRIPTIONS</vt:lpstr>
      <vt:lpstr>PIX</vt:lpstr>
      <vt:lpstr>REPOS</vt:lpstr>
      <vt:lpstr>PROJECTS</vt:lpstr>
      <vt:lpstr>CONFIG</vt:lpstr>
      <vt:lpstr>MONTHLY</vt:lpstr>
      <vt:lpstr>CATEGORIES</vt:lpstr>
      <vt:lpstr>ALERTS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eduardo giovannini</cp:lastModifiedBy>
  <cp:revision>0</cp:revision>
  <dcterms:created xsi:type="dcterms:W3CDTF">2026-08-31T11:53:19Z</dcterms:created>
  <dcterms:modified xsi:type="dcterms:W3CDTF">2026-09-09T20:22:09Z</dcterms:modified>
  <dc:language>en-US</dc:language>
</cp:coreProperties>
</file>