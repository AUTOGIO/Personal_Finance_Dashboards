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51200" windowHeight="28180" tabRatio="500" firstSheet="0" activeTab="0" autoFilterDateGrouping="1"/>
  </bookViews>
  <sheets>
    <sheet xmlns:r="http://schemas.openxmlformats.org/officeDocument/2006/relationships" name="TERMINAL" sheetId="1" state="visible" r:id="rId1"/>
    <sheet xmlns:r="http://schemas.openxmlformats.org/officeDocument/2006/relationships" name="INFRA_CHANGES" sheetId="2" state="visible" r:id="rId2"/>
    <sheet xmlns:r="http://schemas.openxmlformats.org/officeDocument/2006/relationships" name="BALANC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SUBSCRIPTIONS" sheetId="5" state="visible" r:id="rId5"/>
    <sheet xmlns:r="http://schemas.openxmlformats.org/officeDocument/2006/relationships" name="PIX" sheetId="6" state="visible" r:id="rId6"/>
    <sheet xmlns:r="http://schemas.openxmlformats.org/officeDocument/2006/relationships" name="REPO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CONFIG" sheetId="9" state="visible" r:id="rId9"/>
    <sheet xmlns:r="http://schemas.openxmlformats.org/officeDocument/2006/relationships" name="MONTHLY" sheetId="10" state="visible" r:id="rId10"/>
    <sheet xmlns:r="http://schemas.openxmlformats.org/officeDocument/2006/relationships" name="CATEGORIES" sheetId="11" state="visible" r:id="rId11"/>
    <sheet xmlns:r="http://schemas.openxmlformats.org/officeDocument/2006/relationships" name="ALERTS" sheetId="12" state="visible" r:id="rId1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#,##0.00\ &quot;BRL&quot;"/>
    <numFmt numFmtId="167" formatCode="#,##0.00\ &quot;BRL&quot;;[Red]\-#,##0.00\ &quot;BRL&quot;"/>
  </numFmts>
  <fonts count="38">
    <font>
      <name val="Calibri"/>
      <charset val="1"/>
      <family val="2"/>
      <color theme="1"/>
      <sz val="11"/>
    </font>
    <font>
      <name val="Arial"/>
      <family val="2"/>
      <b val="1"/>
      <color rgb="FFFF6600"/>
      <sz val="12"/>
    </font>
    <font>
      <name val="Arial"/>
      <family val="2"/>
      <color rgb="FF888888"/>
      <sz val="9"/>
    </font>
    <font>
      <name val="Arial"/>
      <family val="2"/>
      <b val="1"/>
      <color rgb="FFFFFFFF"/>
      <sz val="11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i val="1"/>
      <color rgb="FF888888"/>
      <sz val="8"/>
    </font>
    <font>
      <name val="Arial"/>
      <family val="2"/>
      <b val="1"/>
      <color rgb="FFFF6600"/>
      <sz val="10"/>
    </font>
    <font>
      <name val="Arial"/>
      <family val="2"/>
      <b val="1"/>
      <sz val="10"/>
    </font>
    <font>
      <name val="Calibri"/>
      <charset val="1"/>
      <family val="2"/>
      <color rgb="FFF5F5F5"/>
      <sz val="11"/>
    </font>
    <font>
      <name val="Calibri"/>
      <charset val="1"/>
      <family val="2"/>
      <color rgb="FFF28C28"/>
      <sz val="11"/>
    </font>
    <font>
      <name val="Calibri"/>
      <charset val="1"/>
      <family val="2"/>
      <b val="1"/>
      <color rgb="FFF28C28"/>
      <sz val="11"/>
    </font>
    <font>
      <name val="Calibri"/>
      <charset val="1"/>
      <family val="2"/>
      <b val="1"/>
      <color rgb="FFF28C28"/>
      <sz val="20"/>
    </font>
    <font>
      <name val="Calibri"/>
      <charset val="1"/>
      <family val="2"/>
      <b val="1"/>
      <color rgb="FFF5F5F5"/>
      <sz val="11"/>
    </font>
    <font>
      <name val="Calibri"/>
      <charset val="1"/>
      <family val="2"/>
      <color rgb="FFB8B8B8"/>
      <sz val="11"/>
    </font>
    <font>
      <name val="Calibri"/>
      <charset val="1"/>
      <family val="2"/>
      <color rgb="FFFFD54F"/>
      <sz val="11"/>
    </font>
    <font>
      <name val="Calibri"/>
      <charset val="1"/>
      <family val="2"/>
      <b val="1"/>
      <color rgb="FFFFD54F"/>
      <sz val="11"/>
    </font>
    <font>
      <name val="Calibri"/>
      <charset val="1"/>
      <family val="2"/>
      <color rgb="FFFF6B6B"/>
      <sz val="11"/>
    </font>
    <font>
      <name val="Calibri"/>
      <charset val="1"/>
      <family val="2"/>
      <b val="1"/>
      <color rgb="FFFF6B6B"/>
      <sz val="11"/>
    </font>
    <font>
      <name val="Calibri"/>
      <charset val="1"/>
      <family val="2"/>
      <color rgb="FF66FF8B"/>
      <sz val="11"/>
    </font>
    <font>
      <name val="Calibri"/>
      <charset val="1"/>
      <family val="2"/>
      <color rgb="FF66B2FF"/>
      <sz val="11"/>
    </font>
    <font>
      <name val="Arial"/>
      <family val="2"/>
      <b val="1"/>
      <color rgb="FFF5F5F5"/>
      <sz val="11"/>
    </font>
    <font>
      <name val="Arial"/>
      <family val="2"/>
      <color rgb="FFF5F5F5"/>
      <sz val="10"/>
    </font>
    <font>
      <name val="Arial"/>
      <family val="2"/>
      <i val="1"/>
      <color rgb="FFF5F5F5"/>
      <sz val="8"/>
    </font>
    <font>
      <name val="Arial"/>
      <family val="2"/>
      <b val="1"/>
      <color rgb="FFF5F5F5"/>
      <sz val="10"/>
    </font>
    <font>
      <name val="Arial"/>
      <family val="2"/>
      <b val="1"/>
      <color rgb="FFF28C28"/>
      <sz val="12"/>
    </font>
    <font>
      <name val="Arial"/>
      <family val="2"/>
      <color rgb="FFF28C28"/>
      <sz val="9"/>
    </font>
    <font>
      <name val="Arial"/>
      <family val="2"/>
      <b val="1"/>
      <color rgb="FFF28C28"/>
      <sz val="10"/>
    </font>
    <font>
      <name val="Arial"/>
      <family val="2"/>
      <b val="1"/>
      <color rgb="FFF28C28"/>
      <sz val="11"/>
    </font>
    <font>
      <name val="Arial"/>
      <family val="2"/>
      <b val="1"/>
      <i val="1"/>
      <color rgb="FFF28C28"/>
      <sz val="8"/>
    </font>
    <font>
      <name val="Arial"/>
      <family val="2"/>
      <color rgb="FF66FF8B"/>
      <sz val="10"/>
    </font>
    <font>
      <name val="Arial"/>
      <family val="2"/>
      <color rgb="FF66B2FF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i val="1"/>
      <color rgb="FF5B6573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i val="1"/>
      <color rgb="FF7F6000"/>
      <sz val="11"/>
    </font>
  </fonts>
  <fills count="17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F0"/>
        <bgColor rgb="FFFFFFFF"/>
      </patternFill>
    </fill>
    <fill>
      <patternFill patternType="solid">
        <fgColor rgb="FFFFF3E0"/>
        <bgColor rgb="FFF5F5F5"/>
      </patternFill>
    </fill>
    <fill>
      <patternFill patternType="solid">
        <fgColor rgb="FFF5F5F5"/>
        <bgColor rgb="FFFFF3E0"/>
      </patternFill>
    </fill>
    <fill>
      <patternFill patternType="solid">
        <fgColor rgb="FF0000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A2400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02033"/>
        <bgColor indexed="64"/>
      </patternFill>
    </fill>
    <fill>
      <patternFill patternType="solid">
        <fgColor rgb="FF17243A"/>
        <bgColor indexed="64"/>
      </patternFill>
    </fill>
    <fill>
      <patternFill patternType="solid">
        <fgColor rgb="FF2878B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FF6600"/>
      </bottom>
      <diagonal/>
    </border>
    <border>
      <left/>
      <right/>
      <top style="thin">
        <color rgb="FF3A3A3A"/>
      </top>
      <bottom/>
      <diagonal/>
    </border>
    <border>
      <left/>
      <right/>
      <top style="thin">
        <color rgb="FF3A3A3A"/>
      </top>
      <bottom style="thin">
        <color rgb="FF3A3A3A"/>
      </bottom>
      <diagonal/>
    </border>
    <border>
      <left/>
      <right/>
      <top/>
      <bottom style="thin">
        <color rgb="FF3A3A3A"/>
      </bottom>
      <diagonal/>
    </border>
    <border>
      <left style="thin">
        <color rgb="FF3A3A3A"/>
      </left>
      <right/>
      <top style="thin">
        <color rgb="FF3A3A3A"/>
      </top>
      <bottom style="thin">
        <color rgb="FF3A3A3A"/>
      </bottom>
      <diagonal/>
    </border>
    <border>
      <left style="thin">
        <color rgb="FF3A3A3A"/>
      </left>
      <right/>
      <top style="thin">
        <color rgb="FF3A3A3A"/>
      </top>
      <bottom/>
      <diagonal/>
    </border>
    <border>
      <left style="thin">
        <color rgb="FF3A3A3A"/>
      </left>
      <right/>
      <top/>
      <bottom/>
      <diagonal/>
    </border>
    <border>
      <left style="thin">
        <color rgb="FF3A3A3A"/>
      </left>
      <right/>
      <top/>
      <bottom style="thin">
        <color rgb="FF3A3A3A"/>
      </bottom>
      <diagonal/>
    </border>
    <border>
      <left/>
      <right style="thin">
        <color rgb="FF3A3A3A"/>
      </right>
      <top style="thin">
        <color rgb="FF3A3A3A"/>
      </top>
      <bottom/>
      <diagonal/>
    </border>
    <border>
      <left/>
      <right style="thin">
        <color rgb="FF3A3A3A"/>
      </right>
      <top/>
      <bottom/>
      <diagonal/>
    </border>
    <border>
      <left/>
      <right style="thin">
        <color rgb="FF3A3A3A"/>
      </right>
      <top/>
      <bottom style="thin">
        <color rgb="FF3A3A3A"/>
      </bottom>
      <diagonal/>
    </border>
    <border>
      <left style="thin">
        <color rgb="FF3A3A3A"/>
      </left>
      <right/>
      <top style="thin">
        <color rgb="FF3A3A3A"/>
      </top>
      <bottom style="medium">
        <color rgb="FFF28C28"/>
      </bottom>
      <diagonal/>
    </border>
    <border>
      <left/>
      <right/>
      <top style="thin">
        <color rgb="FF3A3A3A"/>
      </top>
      <bottom style="medium">
        <color rgb="FFF28C28"/>
      </bottom>
      <diagonal/>
    </border>
    <border>
      <left/>
      <right style="thin">
        <color rgb="FF3A3A3A"/>
      </right>
      <top style="thin">
        <color rgb="FF3A3A3A"/>
      </top>
      <bottom style="medium">
        <color rgb="FFF28C28"/>
      </bottom>
      <diagonal/>
    </border>
    <border>
      <left style="thin">
        <color rgb="FF3A3A3A"/>
      </left>
      <right/>
      <top style="medium">
        <color rgb="FFF28C28"/>
      </top>
      <bottom style="thin">
        <color rgb="FF3A3A3A"/>
      </bottom>
      <diagonal/>
    </border>
    <border>
      <left/>
      <right/>
      <top style="medium">
        <color rgb="FFF28C28"/>
      </top>
      <bottom style="thin">
        <color rgb="FF3A3A3A"/>
      </bottom>
      <diagonal/>
    </border>
    <border>
      <left/>
      <right style="thin">
        <color rgb="FF3A3A3A"/>
      </right>
      <top style="medium">
        <color rgb="FFF28C28"/>
      </top>
      <bottom style="thin">
        <color rgb="FF3A3A3A"/>
      </bottom>
      <diagonal/>
    </border>
    <border>
      <left/>
      <right style="thin">
        <color rgb="FF3A3A3A"/>
      </right>
      <top style="thin">
        <color rgb="FF3A3A3A"/>
      </top>
      <bottom style="thin">
        <color rgb="FF3A3A3A"/>
      </bottom>
      <diagonal/>
    </border>
    <border>
      <left/>
      <right/>
      <top style="medium">
        <color rgb="FFF28C28"/>
      </top>
      <bottom/>
      <diagonal/>
    </border>
    <border>
      <left/>
      <right/>
      <top style="medium">
        <color rgb="FFF28C28"/>
      </top>
      <bottom style="medium">
        <color rgb="FFF28C28"/>
      </bottom>
      <diagonal/>
    </border>
    <border>
      <left/>
      <right/>
      <top/>
      <bottom style="medium">
        <color rgb="FFF28C28"/>
      </bottom>
      <diagonal/>
    </border>
    <border>
      <left style="thin">
        <color rgb="FFA6B4C2"/>
      </left>
      <right style="thin">
        <color rgb="FFA6B4C2"/>
      </right>
      <top style="thin">
        <color rgb="FFA6B4C2"/>
      </top>
      <bottom style="thin">
        <color rgb="FFA6B4C2"/>
      </bottom>
      <diagonal/>
    </border>
    <border>
      <left style="thin">
        <color rgb="FF3A3A3A"/>
      </left>
      <right style="thin">
        <color rgb="FF3A3A3A"/>
      </right>
      <top/>
      <bottom/>
      <diagonal/>
    </border>
    <border>
      <left style="thin">
        <color rgb="FF3A3A3A"/>
      </left>
      <right style="thin">
        <color rgb="FF3A3A3A"/>
      </right>
      <top style="thin">
        <color rgb="FF3A3A3A"/>
      </top>
      <bottom/>
      <diagonal/>
    </border>
    <border>
      <left style="thin">
        <color rgb="FF3A3A3A"/>
      </left>
      <right style="thin">
        <color rgb="FF3A3A3A"/>
      </right>
      <top/>
      <bottom style="thin">
        <color rgb="FF3A3A3A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medium">
        <color rgb="FFF28C28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4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4" fontId="7" fillId="4" borderId="0" pivotButton="0" quotePrefix="0" xfId="0"/>
    <xf numFmtId="0" fontId="7" fillId="0" borderId="0" pivotButton="0" quotePrefix="0" xfId="0"/>
    <xf numFmtId="0" fontId="3" fillId="2" borderId="0" pivotButton="0" quotePrefix="0" xfId="0"/>
    <xf numFmtId="4" fontId="5" fillId="0" borderId="0" pivotButton="0" quotePrefix="0" xfId="0"/>
    <xf numFmtId="0" fontId="5" fillId="5" borderId="0" pivotButton="0" quotePrefix="0" xfId="0"/>
    <xf numFmtId="0" fontId="4" fillId="5" borderId="0" pivotButton="0" quotePrefix="0" xfId="0"/>
    <xf numFmtId="4" fontId="5" fillId="5" borderId="0" pivotButton="0" quotePrefix="0" xfId="0"/>
    <xf numFmtId="0" fontId="6" fillId="5" borderId="0" pivotButton="0" quotePrefix="0" xfId="0"/>
    <xf numFmtId="4" fontId="4" fillId="0" borderId="0" pivotButton="0" quotePrefix="0" xfId="0"/>
    <xf numFmtId="40" fontId="5" fillId="0" borderId="0" pivotButton="0" quotePrefix="0" xfId="0"/>
    <xf numFmtId="40" fontId="5" fillId="5" borderId="0" pivotButton="0" quotePrefix="0" xfId="0"/>
    <xf numFmtId="0" fontId="5" fillId="3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4" fontId="4" fillId="4" borderId="0" pivotButton="0" quotePrefix="0" xfId="0"/>
    <xf numFmtId="3" fontId="5" fillId="0" borderId="0" pivotButton="0" quotePrefix="0" xfId="0"/>
    <xf numFmtId="3" fontId="4" fillId="0" borderId="0" pivotButton="0" quotePrefix="0" xfId="0"/>
    <xf numFmtId="1" fontId="5" fillId="3" borderId="0" pivotButton="0" quotePrefix="0" xfId="0"/>
    <xf numFmtId="3" fontId="5" fillId="3" borderId="0" pivotButton="0" quotePrefix="0" xfId="0"/>
    <xf numFmtId="3" fontId="7" fillId="4" borderId="0" pivotButton="0" quotePrefix="0" xfId="0"/>
    <xf numFmtId="164" fontId="4" fillId="0" borderId="0" pivotButton="0" quotePrefix="0" xfId="0"/>
    <xf numFmtId="164" fontId="4" fillId="5" borderId="0" pivotButton="0" quotePrefix="0" xfId="0"/>
    <xf numFmtId="4" fontId="4" fillId="5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11" fillId="8" borderId="0" pivotButton="0" quotePrefix="0" xfId="0"/>
    <xf numFmtId="0" fontId="9" fillId="9" borderId="0" pivotButton="0" quotePrefix="0" xfId="0"/>
    <xf numFmtId="0" fontId="11" fillId="9" borderId="2" pivotButton="0" quotePrefix="0" xfId="0"/>
    <xf numFmtId="0" fontId="11" fillId="9" borderId="6" pivotButton="0" quotePrefix="0" xfId="0"/>
    <xf numFmtId="0" fontId="11" fillId="9" borderId="9" pivotButton="0" quotePrefix="0" xfId="0"/>
    <xf numFmtId="0" fontId="11" fillId="9" borderId="13" pivotButton="0" quotePrefix="0" xfId="0"/>
    <xf numFmtId="0" fontId="11" fillId="9" borderId="14" pivotButton="0" quotePrefix="0" xfId="0"/>
    <xf numFmtId="0" fontId="9" fillId="10" borderId="0" pivotButton="0" quotePrefix="0" xfId="0"/>
    <xf numFmtId="0" fontId="9" fillId="10" borderId="10" pivotButton="0" quotePrefix="0" xfId="0"/>
    <xf numFmtId="0" fontId="9" fillId="10" borderId="4" pivotButton="0" quotePrefix="0" xfId="0"/>
    <xf numFmtId="0" fontId="9" fillId="10" borderId="11" pivotButton="0" quotePrefix="0" xfId="0"/>
    <xf numFmtId="0" fontId="9" fillId="10" borderId="15" pivotButton="0" quotePrefix="0" xfId="0"/>
    <xf numFmtId="0" fontId="9" fillId="10" borderId="16" pivotButton="0" quotePrefix="0" xfId="0"/>
    <xf numFmtId="0" fontId="9" fillId="10" borderId="17" pivotButton="0" quotePrefix="0" xfId="0"/>
    <xf numFmtId="0" fontId="9" fillId="10" borderId="5" pivotButton="0" quotePrefix="0" xfId="0"/>
    <xf numFmtId="0" fontId="9" fillId="10" borderId="3" pivotButton="0" quotePrefix="0" xfId="0"/>
    <xf numFmtId="0" fontId="9" fillId="10" borderId="18" pivotButton="0" quotePrefix="0" xfId="0"/>
    <xf numFmtId="1" fontId="9" fillId="10" borderId="16" pivotButton="0" quotePrefix="0" xfId="0"/>
    <xf numFmtId="1" fontId="9" fillId="10" borderId="3" pivotButton="0" quotePrefix="0" xfId="0"/>
    <xf numFmtId="0" fontId="19" fillId="10" borderId="5" pivotButton="0" quotePrefix="0" xfId="0"/>
    <xf numFmtId="0" fontId="15" fillId="10" borderId="5" pivotButton="0" quotePrefix="0" xfId="0"/>
    <xf numFmtId="0" fontId="17" fillId="10" borderId="15" pivotButton="0" quotePrefix="0" xfId="0"/>
    <xf numFmtId="0" fontId="19" fillId="6" borderId="15" pivotButton="0" quotePrefix="0" xfId="0"/>
    <xf numFmtId="0" fontId="17" fillId="6" borderId="5" pivotButton="0" quotePrefix="0" xfId="0"/>
    <xf numFmtId="0" fontId="20" fillId="6" borderId="5" pivotButton="0" quotePrefix="0" xfId="0"/>
    <xf numFmtId="0" fontId="21" fillId="6" borderId="0" applyAlignment="1" pivotButton="0" quotePrefix="0" xfId="0">
      <alignment horizontal="left" vertical="center"/>
    </xf>
    <xf numFmtId="0" fontId="22" fillId="6" borderId="0" pivotButton="0" quotePrefix="0" xfId="0"/>
    <xf numFmtId="4" fontId="22" fillId="6" borderId="0" pivotButton="0" quotePrefix="0" xfId="0"/>
    <xf numFmtId="0" fontId="25" fillId="6" borderId="0" pivotButton="0" quotePrefix="0" xfId="0"/>
    <xf numFmtId="0" fontId="11" fillId="6" borderId="0" pivotButton="0" quotePrefix="0" xfId="0"/>
    <xf numFmtId="0" fontId="26" fillId="6" borderId="0" pivotButton="0" quotePrefix="0" xfId="0"/>
    <xf numFmtId="0" fontId="24" fillId="10" borderId="19" pivotButton="0" quotePrefix="0" xfId="0"/>
    <xf numFmtId="0" fontId="13" fillId="10" borderId="19" pivotButton="0" quotePrefix="0" xfId="0"/>
    <xf numFmtId="4" fontId="24" fillId="10" borderId="19" pivotButton="0" quotePrefix="0" xfId="0"/>
    <xf numFmtId="0" fontId="24" fillId="10" borderId="20" pivotButton="0" quotePrefix="0" xfId="0"/>
    <xf numFmtId="0" fontId="13" fillId="10" borderId="20" pivotButton="0" quotePrefix="0" xfId="0"/>
    <xf numFmtId="4" fontId="24" fillId="10" borderId="20" pivotButton="0" quotePrefix="0" xfId="0"/>
    <xf numFmtId="0" fontId="27" fillId="8" borderId="0" pivotButton="0" quotePrefix="0" xfId="0"/>
    <xf numFmtId="0" fontId="21" fillId="10" borderId="20" pivotButton="0" quotePrefix="0" xfId="0"/>
    <xf numFmtId="4" fontId="21" fillId="10" borderId="20" pivotButton="0" quotePrefix="0" xfId="0"/>
    <xf numFmtId="0" fontId="28" fillId="9" borderId="2" applyAlignment="1" pivotButton="0" quotePrefix="0" xfId="0">
      <alignment horizontal="left" vertical="center"/>
    </xf>
    <xf numFmtId="0" fontId="28" fillId="9" borderId="6" applyAlignment="1" pivotButton="0" quotePrefix="0" xfId="0">
      <alignment horizontal="left" vertical="center"/>
    </xf>
    <xf numFmtId="0" fontId="28" fillId="9" borderId="9" applyAlignment="1" pivotButton="0" quotePrefix="0" xfId="0">
      <alignment horizontal="left" vertical="center"/>
    </xf>
    <xf numFmtId="0" fontId="22" fillId="10" borderId="15" pivotButton="0" quotePrefix="0" xfId="0"/>
    <xf numFmtId="0" fontId="22" fillId="10" borderId="16" pivotButton="0" quotePrefix="0" xfId="0"/>
    <xf numFmtId="4" fontId="22" fillId="10" borderId="16" pivotButton="0" quotePrefix="0" xfId="0"/>
    <xf numFmtId="0" fontId="23" fillId="10" borderId="17" pivotButton="0" quotePrefix="0" xfId="0"/>
    <xf numFmtId="0" fontId="22" fillId="10" borderId="5" pivotButton="0" quotePrefix="0" xfId="0"/>
    <xf numFmtId="0" fontId="22" fillId="10" borderId="3" pivotButton="0" quotePrefix="0" xfId="0"/>
    <xf numFmtId="4" fontId="22" fillId="10" borderId="3" pivotButton="0" quotePrefix="0" xfId="0"/>
    <xf numFmtId="0" fontId="23" fillId="10" borderId="18" pivotButton="0" quotePrefix="0" xfId="0"/>
    <xf numFmtId="0" fontId="28" fillId="9" borderId="2" pivotButton="0" quotePrefix="0" xfId="0"/>
    <xf numFmtId="0" fontId="24" fillId="10" borderId="21" pivotButton="0" quotePrefix="0" xfId="0"/>
    <xf numFmtId="0" fontId="13" fillId="10" borderId="21" pivotButton="0" quotePrefix="0" xfId="0"/>
    <xf numFmtId="4" fontId="24" fillId="10" borderId="21" pivotButton="0" quotePrefix="0" xfId="0"/>
    <xf numFmtId="0" fontId="28" fillId="9" borderId="6" pivotButton="0" quotePrefix="0" xfId="0"/>
    <xf numFmtId="0" fontId="28" fillId="9" borderId="9" pivotButton="0" quotePrefix="0" xfId="0"/>
    <xf numFmtId="0" fontId="29" fillId="9" borderId="12" pivotButton="0" quotePrefix="0" xfId="0"/>
    <xf numFmtId="0" fontId="23" fillId="10" borderId="7" pivotButton="0" quotePrefix="0" xfId="0"/>
    <xf numFmtId="0" fontId="23" fillId="10" borderId="8" pivotButton="0" quotePrefix="0" xfId="0"/>
    <xf numFmtId="0" fontId="23" fillId="9" borderId="7" pivotButton="0" quotePrefix="0" xfId="0"/>
    <xf numFmtId="0" fontId="9" fillId="9" borderId="10" pivotButton="0" quotePrefix="0" xfId="0"/>
    <xf numFmtId="0" fontId="30" fillId="10" borderId="16" pivotButton="0" quotePrefix="0" xfId="0"/>
    <xf numFmtId="0" fontId="30" fillId="10" borderId="3" pivotButton="0" quotePrefix="0" xfId="0"/>
    <xf numFmtId="4" fontId="31" fillId="11" borderId="16" pivotButton="0" quotePrefix="0" xfId="0"/>
    <xf numFmtId="0" fontId="20" fillId="11" borderId="16" pivotButton="0" quotePrefix="0" xfId="0"/>
    <xf numFmtId="4" fontId="31" fillId="11" borderId="3" pivotButton="0" quotePrefix="0" xfId="0"/>
    <xf numFmtId="0" fontId="20" fillId="11" borderId="3" pivotButton="0" quotePrefix="0" xfId="0"/>
    <xf numFmtId="0" fontId="31" fillId="11" borderId="16" pivotButton="0" quotePrefix="0" xfId="0"/>
    <xf numFmtId="0" fontId="31" fillId="11" borderId="3" pivotButton="0" quotePrefix="0" xfId="0"/>
    <xf numFmtId="4" fontId="30" fillId="10" borderId="16" pivotButton="0" quotePrefix="0" xfId="0"/>
    <xf numFmtId="4" fontId="30" fillId="10" borderId="3" pivotButton="0" quotePrefix="0" xfId="0"/>
    <xf numFmtId="0" fontId="19" fillId="10" borderId="3" pivotButton="0" quotePrefix="0" xfId="0"/>
    <xf numFmtId="165" fontId="22" fillId="10" borderId="16" pivotButton="0" quotePrefix="0" xfId="0"/>
    <xf numFmtId="165" fontId="22" fillId="10" borderId="3" pivotButton="0" quotePrefix="0" xfId="0"/>
    <xf numFmtId="0" fontId="24" fillId="10" borderId="5" pivotButton="0" quotePrefix="0" xfId="0"/>
    <xf numFmtId="0" fontId="21" fillId="10" borderId="5" pivotButton="0" quotePrefix="0" xfId="0"/>
    <xf numFmtId="0" fontId="21" fillId="10" borderId="3" pivotButton="0" quotePrefix="0" xfId="0"/>
    <xf numFmtId="40" fontId="22" fillId="10" borderId="16" pivotButton="0" quotePrefix="0" xfId="0"/>
    <xf numFmtId="0" fontId="22" fillId="10" borderId="17" pivotButton="0" quotePrefix="0" xfId="0"/>
    <xf numFmtId="40" fontId="22" fillId="10" borderId="3" pivotButton="0" quotePrefix="0" xfId="0"/>
    <xf numFmtId="0" fontId="22" fillId="10" borderId="18" pivotButton="0" quotePrefix="0" xfId="0"/>
    <xf numFmtId="0" fontId="24" fillId="10" borderId="3" pivotButton="0" quotePrefix="0" xfId="0"/>
    <xf numFmtId="4" fontId="24" fillId="10" borderId="3" pivotButton="0" quotePrefix="0" xfId="0"/>
    <xf numFmtId="0" fontId="23" fillId="10" borderId="5" pivotButton="0" quotePrefix="0" xfId="0"/>
    <xf numFmtId="0" fontId="17" fillId="7" borderId="6" pivotButton="0" quotePrefix="0" xfId="0"/>
    <xf numFmtId="0" fontId="17" fillId="7" borderId="9" pivotButton="0" quotePrefix="0" xfId="0"/>
    <xf numFmtId="0" fontId="11" fillId="8" borderId="0" pivotButton="0" quotePrefix="0" xfId="0"/>
    <xf numFmtId="0" fontId="11" fillId="9" borderId="12" applyAlignment="1" pivotButton="0" quotePrefix="0" xfId="0">
      <alignment wrapText="1"/>
    </xf>
    <xf numFmtId="0" fontId="11" fillId="9" borderId="13" applyAlignment="1" pivotButton="0" quotePrefix="0" xfId="0">
      <alignment wrapText="1"/>
    </xf>
    <xf numFmtId="0" fontId="11" fillId="9" borderId="14" applyAlignment="1" pivotButton="0" quotePrefix="0" xfId="0">
      <alignment wrapText="1"/>
    </xf>
    <xf numFmtId="0" fontId="9" fillId="10" borderId="7" applyAlignment="1" pivotButton="0" quotePrefix="0" xfId="0">
      <alignment wrapText="1"/>
    </xf>
    <xf numFmtId="0" fontId="9" fillId="10" borderId="0" applyAlignment="1" pivotButton="0" quotePrefix="0" xfId="0">
      <alignment wrapText="1"/>
    </xf>
    <xf numFmtId="0" fontId="9" fillId="10" borderId="10" applyAlignment="1" pivotButton="0" quotePrefix="0" xfId="0">
      <alignment wrapText="1"/>
    </xf>
    <xf numFmtId="0" fontId="9" fillId="9" borderId="7" applyAlignment="1" pivotButton="0" quotePrefix="0" xfId="0">
      <alignment wrapText="1"/>
    </xf>
    <xf numFmtId="0" fontId="9" fillId="9" borderId="0" applyAlignment="1" pivotButton="0" quotePrefix="0" xfId="0">
      <alignment wrapText="1"/>
    </xf>
    <xf numFmtId="0" fontId="9" fillId="9" borderId="10" applyAlignment="1" pivotButton="0" quotePrefix="0" xfId="0">
      <alignment wrapText="1"/>
    </xf>
    <xf numFmtId="0" fontId="9" fillId="10" borderId="8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10" borderId="11" applyAlignment="1" pivotButton="0" quotePrefix="0" xfId="0">
      <alignment wrapText="1"/>
    </xf>
    <xf numFmtId="0" fontId="14" fillId="7" borderId="8" pivotButton="0" quotePrefix="0" xfId="0"/>
    <xf numFmtId="0" fontId="14" fillId="7" borderId="4" pivotButton="0" quotePrefix="0" xfId="0"/>
    <xf numFmtId="0" fontId="14" fillId="7" borderId="11" pivotButton="0" quotePrefix="0" xfId="0"/>
    <xf numFmtId="0" fontId="12" fillId="6" borderId="0" pivotButton="0" quotePrefix="0" xfId="0"/>
    <xf numFmtId="0" fontId="10" fillId="6" borderId="0" pivotButton="0" quotePrefix="0" xfId="0"/>
    <xf numFmtId="166" fontId="13" fillId="7" borderId="7" pivotButton="0" quotePrefix="0" xfId="0"/>
    <xf numFmtId="0" fontId="13" fillId="7" borderId="0" pivotButton="0" quotePrefix="0" xfId="0"/>
    <xf numFmtId="0" fontId="13" fillId="7" borderId="7" pivotButton="0" quotePrefix="0" xfId="0"/>
    <xf numFmtId="166" fontId="16" fillId="7" borderId="7" pivotButton="0" quotePrefix="0" xfId="0"/>
    <xf numFmtId="0" fontId="16" fillId="7" borderId="0" pivotButton="0" quotePrefix="0" xfId="0"/>
    <xf numFmtId="0" fontId="16" fillId="7" borderId="10" pivotButton="0" quotePrefix="0" xfId="0"/>
    <xf numFmtId="0" fontId="16" fillId="7" borderId="7" pivotButton="0" quotePrefix="0" xfId="0"/>
    <xf numFmtId="1" fontId="18" fillId="7" borderId="7" pivotButton="0" quotePrefix="0" xfId="0"/>
    <xf numFmtId="0" fontId="18" fillId="7" borderId="0" pivotButton="0" quotePrefix="0" xfId="0"/>
    <xf numFmtId="0" fontId="18" fillId="7" borderId="7" pivotButton="0" quotePrefix="0" xfId="0"/>
    <xf numFmtId="167" fontId="18" fillId="7" borderId="7" pivotButton="0" quotePrefix="0" xfId="0"/>
    <xf numFmtId="0" fontId="18" fillId="7" borderId="10" pivotButton="0" quotePrefix="0" xfId="0"/>
    <xf numFmtId="0" fontId="10" fillId="7" borderId="6" pivotButton="0" quotePrefix="0" xfId="0"/>
    <xf numFmtId="0" fontId="10" fillId="7" borderId="2" pivotButton="0" quotePrefix="0" xfId="0"/>
    <xf numFmtId="0" fontId="15" fillId="7" borderId="6" pivotButton="0" quotePrefix="0" xfId="0"/>
    <xf numFmtId="0" fontId="15" fillId="7" borderId="2" pivotButton="0" quotePrefix="0" xfId="0"/>
    <xf numFmtId="0" fontId="15" fillId="7" borderId="9" pivotButton="0" quotePrefix="0" xfId="0"/>
    <xf numFmtId="0" fontId="17" fillId="7" borderId="2" pivotButton="0" quotePrefix="0" xfId="0"/>
    <xf numFmtId="0" fontId="33" fillId="12" borderId="0" applyAlignment="1" pivotButton="0" quotePrefix="0" xfId="0">
      <alignment vertical="center"/>
    </xf>
    <xf numFmtId="0" fontId="34" fillId="0" borderId="0" applyAlignment="1" pivotButton="0" quotePrefix="0" xfId="0">
      <alignment wrapText="1"/>
    </xf>
    <xf numFmtId="0" fontId="35" fillId="13" borderId="0" pivotButton="0" quotePrefix="0" xfId="0"/>
    <xf numFmtId="0" fontId="32" fillId="1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2" fillId="14" borderId="22" applyAlignment="1" pivotButton="0" quotePrefix="0" xfId="0">
      <alignment horizontal="center"/>
    </xf>
    <xf numFmtId="0" fontId="36" fillId="15" borderId="22" pivotButton="0" quotePrefix="0" xfId="0"/>
    <xf numFmtId="0" fontId="0" fillId="0" borderId="22" applyAlignment="1" pivotButton="0" quotePrefix="0" xfId="0">
      <alignment wrapText="1"/>
    </xf>
    <xf numFmtId="0" fontId="37" fillId="16" borderId="0" applyAlignment="1" pivotButton="0" quotePrefix="0" xfId="0">
      <alignment wrapText="1"/>
    </xf>
    <xf numFmtId="0" fontId="15" fillId="7" borderId="24" pivotButton="0" quotePrefix="0" xfId="0"/>
    <xf numFmtId="0" fontId="0" fillId="0" borderId="2" pivotButton="0" quotePrefix="0" xfId="0"/>
    <xf numFmtId="0" fontId="0" fillId="0" borderId="9" pivotButton="0" quotePrefix="0" xfId="0"/>
    <xf numFmtId="0" fontId="17" fillId="7" borderId="24" pivotButton="0" quotePrefix="0" xfId="0"/>
    <xf numFmtId="166" fontId="16" fillId="7" borderId="23" pivotButton="0" quotePrefix="0" xfId="0"/>
    <xf numFmtId="0" fontId="0" fillId="0" borderId="10" pivotButton="0" quotePrefix="0" xfId="0"/>
    <xf numFmtId="167" fontId="18" fillId="7" borderId="23" pivotButton="0" quotePrefix="0" xfId="0"/>
    <xf numFmtId="0" fontId="0" fillId="0" borderId="7" pivotButton="0" quotePrefix="0" xfId="0"/>
    <xf numFmtId="0" fontId="14" fillId="7" borderId="25" pivotButton="0" quotePrefix="0" xfId="0"/>
    <xf numFmtId="0" fontId="0" fillId="0" borderId="4" pivotButton="0" quotePrefix="0" xfId="0"/>
    <xf numFmtId="0" fontId="0" fillId="0" borderId="11" pivotButton="0" quotePrefix="0" xfId="0"/>
    <xf numFmtId="0" fontId="11" fillId="9" borderId="26" applyAlignment="1" pivotButton="0" quotePrefix="0" xfId="0">
      <alignment wrapText="1"/>
    </xf>
    <xf numFmtId="0" fontId="0" fillId="0" borderId="13" pivotButton="0" quotePrefix="0" xfId="0"/>
    <xf numFmtId="0" fontId="0" fillId="0" borderId="14" pivotButton="0" quotePrefix="0" xfId="0"/>
    <xf numFmtId="0" fontId="9" fillId="10" borderId="23" applyAlignment="1" pivotButton="0" quotePrefix="0" xfId="0">
      <alignment wrapText="1"/>
    </xf>
    <xf numFmtId="0" fontId="9" fillId="9" borderId="23" applyAlignment="1" pivotButton="0" quotePrefix="0" xfId="0">
      <alignment wrapText="1"/>
    </xf>
    <xf numFmtId="0" fontId="9" fillId="10" borderId="25" applyAlignment="1" pivotButton="0" quotePrefix="0" xfId="0">
      <alignment wrapText="1"/>
    </xf>
    <xf numFmtId="164" fontId="4" fillId="0" borderId="0" pivotButton="0" quotePrefix="0" xfId="0"/>
    <xf numFmtId="164" fontId="4" fillId="5" borderId="0" pivotButton="0" quotePrefix="0" xfId="0"/>
  </cellXfs>
  <cellStyles count="1">
    <cellStyle name="Normal" xfId="0" builtinId="0"/>
  </cellStyles>
  <dxfs count="8">
    <dxf>
      <alignment vertical="top"/>
    </dxf>
    <dxf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horizontal="center" vertical="top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5F5F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SPEND TREND | H1 2026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5F5F5"/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MONTHLY!$B$4</c:f>
              <c:strCache>
                <c:ptCount val="1"/>
                <c:pt idx="0">
                  <c:v>Card Spend</c:v>
                </c:pt>
              </c:strCache>
            </c:strRef>
          </c:tx>
          <c:spPr>
            <a:ln w="28575" cap="rnd">
              <a:solidFill>
                <a:srgbClr val="F28C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28C28"/>
              </a:solidFill>
              <a:ln w="9525">
                <a:solidFill>
                  <a:srgbClr val="F28C28"/>
                </a:solidFill>
                <a:prstDash val="solid"/>
              </a:ln>
              <a:effectLst/>
            </c:spPr>
          </c:marker>
          <c:cat>
            <c:strRef>
              <c:f>MONTHLY!$A$5:$A$10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MONTHLY!$B$5:$B$10</c:f>
              <c:numCache>
                <c:formatCode>#,##0.00</c:formatCode>
                <c:ptCount val="6"/>
                <c:pt idx="0">
                  <c:v>3745.4</c:v>
                </c:pt>
                <c:pt idx="1">
                  <c:v>9515.9</c:v>
                </c:pt>
                <c:pt idx="2">
                  <c:v>14231.47</c:v>
                </c:pt>
                <c:pt idx="3">
                  <c:v>5330.44</c:v>
                </c:pt>
                <c:pt idx="4">
                  <c:v>3308.38</c:v>
                </c:pt>
                <c:pt idx="5">
                  <c:v>1114.17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2-B74B-BAD8-3AD7C8F2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51904"/>
        <c:axId val="2146453696"/>
      </c:lineChart>
      <c:catAx>
        <c:axId val="214645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A3A3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B8B8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2146453696"/>
        <c:crosses val="autoZero"/>
        <c:auto val="1"/>
        <c:lblAlgn val="ctr"/>
        <c:lblOffset val="100"/>
        <c:noMultiLvlLbl val="0"/>
      </c:catAx>
      <c:valAx>
        <c:axId val="21464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A3A3A"/>
              </a:solidFill>
              <a:prstDash val="solid"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solidFill>
              <a:srgbClr val="3A3A3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B8B8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2146451904"/>
        <c:crosses val="autoZero"/>
        <c:crossBetween val="between"/>
      </c:valAx>
      <c:spPr>
        <a:solidFill>
          <a:srgbClr val="000000"/>
        </a:solidFill>
        <a:ln>
          <a:noFill/>
        </a:ln>
        <a:effectLst/>
      </c:spPr>
    </c:plotArea>
    <c:legend>
      <c:legendPos val="r"/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B8B8B8"/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5F5F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CARD CATEGORIES | H1 2026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5F5F5"/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CATEGORIES!$B$4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F28C28"/>
            </a:solidFill>
            <a:ln>
              <a:noFill/>
            </a:ln>
            <a:effectLst/>
          </c:spPr>
          <c:invertIfNegative val="0"/>
          <c:cat>
            <c:strRef>
              <c:f>CATEGORIES!$A$5:$A$12</c:f>
              <c:strCache>
                <c:ptCount val="8"/>
                <c:pt idx="0">
                  <c:v>Viagem</c:v>
                </c:pt>
                <c:pt idx="1">
                  <c:v>Compras/ML</c:v>
                </c:pt>
                <c:pt idx="2">
                  <c:v>IA/Tecnologia</c:v>
                </c:pt>
                <c:pt idx="3">
                  <c:v>Loteria</c:v>
                </c:pt>
                <c:pt idx="4">
                  <c:v>Outros</c:v>
                </c:pt>
                <c:pt idx="5">
                  <c:v>Internet</c:v>
                </c:pt>
                <c:pt idx="6">
                  <c:v>Assinatura</c:v>
                </c:pt>
                <c:pt idx="7">
                  <c:v>Delivery/iFood</c:v>
                </c:pt>
              </c:strCache>
            </c:strRef>
          </c:cat>
          <c:val>
            <c:numRef>
              <c:f>CATEGORIES!$B$5:$B$12</c:f>
              <c:numCache>
                <c:formatCode>#,##0.00</c:formatCode>
                <c:ptCount val="8"/>
                <c:pt idx="0">
                  <c:v>9036.83</c:v>
                </c:pt>
                <c:pt idx="1">
                  <c:v>8744.68</c:v>
                </c:pt>
                <c:pt idx="2">
                  <c:v>6624.36</c:v>
                </c:pt>
                <c:pt idx="3">
                  <c:v>6455.1</c:v>
                </c:pt>
                <c:pt idx="4">
                  <c:v>2235.58</c:v>
                </c:pt>
                <c:pt idx="5">
                  <c:v>1413.12</c:v>
                </c:pt>
                <c:pt idx="6">
                  <c:v>1227.5</c:v>
                </c:pt>
                <c:pt idx="7">
                  <c:v>1217.92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8-9740-ACEE-AF3C3A351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818176"/>
        <c:axId val="2146815040"/>
      </c:barChart>
      <c:catAx>
        <c:axId val="214681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A3A3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B8B8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2146815040"/>
        <c:crosses val="autoZero"/>
        <c:auto val="1"/>
        <c:lblAlgn val="ctr"/>
        <c:lblOffset val="100"/>
        <c:noMultiLvlLbl val="0"/>
      </c:catAx>
      <c:valAx>
        <c:axId val="214681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3A3A3A"/>
              </a:solidFill>
              <a:prstDash val="solid"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solidFill>
              <a:srgbClr val="3A3A3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B8B8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2146818176"/>
        <c:crosses val="autoZero"/>
        <c:crossBetween val="between"/>
      </c:valAx>
      <c:spPr>
        <a:solidFill>
          <a:srgbClr val="000000"/>
        </a:solidFill>
        <a:ln>
          <a:noFill/>
        </a:ln>
        <a:effectLst/>
      </c:spPr>
    </c:plotArea>
    <c:legend>
      <c:legendPos val="r"/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B8B8B8"/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ard Spend Trend">
          <a:extLst>
            <a:ext uri="{FF2B5EF4-FFF2-40B4-BE49-F238E27FC236}">
              <a16:creationId xmlns:a16="http://schemas.microsoft.com/office/drawing/2014/main" id="{198A1CE9-00A0-55E0-F3CC-B8D6EF7A6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3" name="Top Spend Categories">
          <a:extLst>
            <a:ext uri="{FF2B5EF4-FFF2-40B4-BE49-F238E27FC236}">
              <a16:creationId xmlns:a16="http://schemas.microsoft.com/office/drawing/2014/main" id="{7A562DBC-8630-54F3-F7F1-7D64F442B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fraChangesTable" displayName="InfraChangesTable" ref="A5:F8" headerRowCount="1" totalsRowShown="0" headerRowDxfId="7" dataDxfId="0">
  <autoFilter ref="A5:F8"/>
  <tableColumns count="6">
    <tableColumn id="1" name="ID" dataDxfId="6"/>
    <tableColumn id="2" name="Infrastructure Area" dataDxfId="5"/>
    <tableColumn id="3" name="BEFORE (inferred)" dataDxfId="4"/>
    <tableColumn id="4" name="AFTER (current state)" dataDxfId="3"/>
    <tableColumn id="5" name="Workbook Evidence" dataDxfId="2"/>
    <tableColumn id="6" name="Classifi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zoomScale="150" zoomScaleNormal="150" workbookViewId="0">
      <selection activeCell="A6" sqref="A6:C7"/>
    </sheetView>
  </sheetViews>
  <sheetFormatPr baseColWidth="10" defaultRowHeight="15"/>
  <cols>
    <col width="21.6640625" customWidth="1" min="1" max="1"/>
    <col width="15.33203125" customWidth="1" min="2" max="2"/>
    <col width="15.83203125" customWidth="1" min="3" max="3"/>
    <col width="13" customWidth="1" min="4" max="6"/>
    <col width="3" customWidth="1" min="7" max="7"/>
    <col width="21.6640625" customWidth="1" min="8" max="8"/>
    <col width="15.33203125" customWidth="1" min="9" max="9"/>
    <col width="15.83203125" customWidth="1" min="10" max="10"/>
    <col width="13" customWidth="1" min="11" max="12"/>
  </cols>
  <sheetData>
    <row r="1" ht="32" customHeight="1">
      <c r="A1" s="140" t="inlineStr">
        <is>
          <t>EG FINANCIAL TERMINAL  &lt;GO&gt;</t>
        </is>
      </c>
      <c r="M1" s="34" t="n"/>
    </row>
    <row r="2" ht="22" customHeight="1">
      <c r="A2" s="141" t="inlineStr">
        <is>
          <t>Personal finance command workspace | H1 2026 | Owner: Eduardo Forster Giovannini</t>
        </is>
      </c>
      <c r="M2" s="34" t="n"/>
    </row>
    <row r="3" ht="20" customHeight="1">
      <c r="A3" s="141" t="inlineStr">
        <is>
          <t>COMMAND: type a sheet code below, then review the indicated monitor. Values update from the operating tabs.</t>
        </is>
      </c>
      <c r="M3" s="34" t="n"/>
    </row>
    <row r="4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4" t="n"/>
    </row>
    <row r="5" ht="22" customHeight="1">
      <c r="D5" s="170" t="inlineStr">
        <is>
          <t>LIQ &lt;GO&gt;</t>
        </is>
      </c>
      <c r="E5" s="171" t="n"/>
      <c r="F5" s="172" t="n"/>
      <c r="G5" s="35" t="n"/>
      <c r="H5" s="122" t="inlineStr">
        <is>
          <t>ALRT &lt;GO&gt;</t>
        </is>
      </c>
      <c r="I5" s="171" t="n"/>
      <c r="J5" s="171" t="n"/>
      <c r="K5" s="173" t="inlineStr">
        <is>
          <t>FLOW &lt;GO&gt;</t>
        </is>
      </c>
      <c r="L5" s="172" t="n"/>
      <c r="M5" s="34" t="n"/>
    </row>
    <row r="6" ht="28" customHeight="1">
      <c r="D6" s="174">
        <f>BALANCES!C9</f>
        <v/>
      </c>
      <c r="F6" s="175" t="n"/>
      <c r="G6" s="35" t="n"/>
      <c r="H6" s="149">
        <f>COUNTIFS(ALERTS!B5:B16,"CRITICAL",ALERTS!G5:G16,"Pending")</f>
        <v/>
      </c>
      <c r="K6" s="176">
        <f>MONTHLY!E11</f>
        <v/>
      </c>
      <c r="L6" s="175" t="n"/>
      <c r="M6" s="34" t="n"/>
    </row>
    <row r="7" ht="28" customHeight="1">
      <c r="D7" s="177" t="n"/>
      <c r="F7" s="175" t="n"/>
      <c r="G7" s="35" t="n"/>
      <c r="H7" s="177" t="n"/>
      <c r="K7" s="177" t="n"/>
      <c r="L7" s="175" t="n"/>
      <c r="M7" s="34" t="n"/>
    </row>
    <row r="8">
      <c r="D8" s="178" t="inlineStr">
        <is>
          <t>TOTAL LIQUID | BRL</t>
        </is>
      </c>
      <c r="E8" s="179" t="n"/>
      <c r="F8" s="180" t="n"/>
      <c r="G8" s="35" t="n"/>
      <c r="H8" s="137" t="inlineStr">
        <is>
          <t>OPEN CRITICAL ALERTS</t>
        </is>
      </c>
      <c r="I8" s="179" t="n"/>
      <c r="J8" s="179" t="n"/>
      <c r="K8" s="178" t="inlineStr">
        <is>
          <t>H1 TOTAL OUT | BRL</t>
        </is>
      </c>
      <c r="L8" s="180" t="n"/>
      <c r="M8" s="34" t="n"/>
    </row>
    <row r="9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4" t="n"/>
    </row>
    <row r="10" ht="22" customHeight="1">
      <c r="A10" s="124" t="inlineStr">
        <is>
          <t>FUNCTION DIRECTORY</t>
        </is>
      </c>
      <c r="G10" s="35" t="n"/>
      <c r="H10" s="124" t="inlineStr">
        <is>
          <t>RISK MONITOR</t>
        </is>
      </c>
      <c r="M10" s="34" t="n"/>
    </row>
    <row r="11" ht="16" customHeight="1" thickBot="1">
      <c r="A11" s="40" t="inlineStr">
        <is>
          <t>Command</t>
        </is>
      </c>
      <c r="B11" s="39" t="inlineStr">
        <is>
          <t>Sheet</t>
        </is>
      </c>
      <c r="C11" s="39" t="inlineStr">
        <is>
          <t>Purpose</t>
        </is>
      </c>
      <c r="D11" s="39" t="inlineStr">
        <is>
          <t>Primary Signal</t>
        </is>
      </c>
      <c r="E11" s="39" t="inlineStr">
        <is>
          <t>Update Cycle</t>
        </is>
      </c>
      <c r="F11" s="41" t="inlineStr">
        <is>
          <t>Action</t>
        </is>
      </c>
      <c r="G11" s="35" t="n"/>
      <c r="H11" s="40" t="inlineStr">
        <is>
          <t>Severity</t>
        </is>
      </c>
      <c r="I11" s="39" t="inlineStr">
        <is>
          <t>Pending</t>
        </is>
      </c>
      <c r="J11" s="39" t="inlineStr">
        <is>
          <t>Exposure / Signal</t>
        </is>
      </c>
      <c r="K11" s="39" t="inlineStr">
        <is>
          <t>Required Action</t>
        </is>
      </c>
      <c r="L11" s="41" t="inlineStr">
        <is>
          <t>Control</t>
        </is>
      </c>
      <c r="M11" s="34" t="n"/>
    </row>
    <row r="12">
      <c r="A12" s="48" t="inlineStr">
        <is>
          <t>LIQ &lt;GO&gt;</t>
        </is>
      </c>
      <c r="B12" s="49" t="inlineStr">
        <is>
          <t>BALANCES</t>
        </is>
      </c>
      <c r="C12" s="49" t="inlineStr">
        <is>
          <t>Bank liquidity</t>
        </is>
      </c>
      <c r="D12" s="49" t="inlineStr">
        <is>
          <t>R$23.2k liquid</t>
        </is>
      </c>
      <c r="E12" s="49" t="inlineStr">
        <is>
          <t>Weekly</t>
        </is>
      </c>
      <c r="F12" s="50" t="inlineStr">
        <is>
          <t>Reconcile balances</t>
        </is>
      </c>
      <c r="G12" s="35" t="n"/>
      <c r="H12" s="58" t="inlineStr">
        <is>
          <t>CRITICAL</t>
        </is>
      </c>
      <c r="I12" s="54" t="n">
        <v>2</v>
      </c>
      <c r="J12" s="49" t="inlineStr">
        <is>
          <t>R$12.2k</t>
        </is>
      </c>
      <c r="K12" s="49" t="inlineStr">
        <is>
          <t>Cancel / decide REVIEW</t>
        </is>
      </c>
      <c r="L12" s="50" t="inlineStr">
        <is>
          <t>&lt;CANCEL&gt; risk</t>
        </is>
      </c>
      <c r="M12" s="34" t="n"/>
    </row>
    <row r="13">
      <c r="A13" s="51" t="inlineStr">
        <is>
          <t>CARD &lt;GO&gt;</t>
        </is>
      </c>
      <c r="B13" s="52" t="inlineStr">
        <is>
          <t>TRANSACTIONS</t>
        </is>
      </c>
      <c r="C13" s="52" t="inlineStr">
        <is>
          <t>Card transaction ledger</t>
        </is>
      </c>
      <c r="D13" s="52" t="inlineStr">
        <is>
          <t>146 H1 entries</t>
        </is>
      </c>
      <c r="E13" s="52" t="inlineStr">
        <is>
          <t>Monthly</t>
        </is>
      </c>
      <c r="F13" s="53" t="inlineStr">
        <is>
          <t>Import full statement</t>
        </is>
      </c>
      <c r="G13" s="35" t="n"/>
      <c r="H13" s="57" t="inlineStr">
        <is>
          <t>HIGH</t>
        </is>
      </c>
      <c r="I13" s="55" t="n">
        <v>2</v>
      </c>
      <c r="J13" s="52" t="inlineStr">
        <is>
          <t>Liquidity + gambling</t>
        </is>
      </c>
      <c r="K13" s="52" t="inlineStr">
        <is>
          <t>Review this week</t>
        </is>
      </c>
      <c r="L13" s="53" t="inlineStr">
        <is>
          <t>&lt;MENU&gt; actions</t>
        </is>
      </c>
      <c r="M13" s="34" t="n"/>
    </row>
    <row r="14">
      <c r="A14" s="51" t="inlineStr">
        <is>
          <t>SUBS &lt;GO&gt;</t>
        </is>
      </c>
      <c r="B14" s="52" t="inlineStr">
        <is>
          <t>SUBSCRIPTIONS</t>
        </is>
      </c>
      <c r="C14" s="52" t="inlineStr">
        <is>
          <t>Subscription decisions</t>
        </is>
      </c>
      <c r="D14" s="52" t="inlineStr">
        <is>
          <t>R$365.80/mo cancel</t>
        </is>
      </c>
      <c r="E14" s="52" t="inlineStr">
        <is>
          <t>At renewal</t>
        </is>
      </c>
      <c r="F14" s="53" t="inlineStr">
        <is>
          <t>Execute cancellations</t>
        </is>
      </c>
      <c r="G14" s="35" t="n"/>
      <c r="H14" s="57" t="inlineStr">
        <is>
          <t>MEDIUM</t>
        </is>
      </c>
      <c r="I14" s="55" t="n">
        <v>3</v>
      </c>
      <c r="J14" s="52" t="inlineStr">
        <is>
          <t>AI overlap + classification</t>
        </is>
      </c>
      <c r="K14" s="52" t="inlineStr">
        <is>
          <t>Resolve this month</t>
        </is>
      </c>
      <c r="L14" s="53" t="inlineStr">
        <is>
          <t>&lt;HELP&gt; context</t>
        </is>
      </c>
      <c r="M14" s="34" t="n"/>
    </row>
    <row r="15">
      <c r="A15" s="51" t="inlineStr">
        <is>
          <t>PIX &lt;GO&gt;</t>
        </is>
      </c>
      <c r="B15" s="52" t="inlineStr">
        <is>
          <t>PIX</t>
        </is>
      </c>
      <c r="C15" s="52" t="inlineStr">
        <is>
          <t>Inter PIX Out (domestic)</t>
        </is>
      </c>
      <c r="D15" s="52" t="inlineStr">
        <is>
          <t>R$45.9k PIX out</t>
        </is>
      </c>
      <c r="E15" s="52" t="inlineStr">
        <is>
          <t>Weekly</t>
        </is>
      </c>
      <c r="F15" s="53" t="inlineStr">
        <is>
          <t>Validate counterparties</t>
        </is>
      </c>
      <c r="G15" s="35" t="n"/>
      <c r="H15" s="56" t="inlineStr">
        <is>
          <t>LOW</t>
        </is>
      </c>
      <c r="I15" s="55" t="n">
        <v>0</v>
      </c>
      <c r="J15" s="52" t="inlineStr">
        <is>
          <t>—</t>
        </is>
      </c>
      <c r="K15" s="52" t="inlineStr">
        <is>
          <t>Monitor</t>
        </is>
      </c>
      <c r="L15" s="53" t="inlineStr">
        <is>
          <t>&lt;END/BACK&gt;</t>
        </is>
      </c>
      <c r="M15" s="34" t="n"/>
    </row>
    <row r="16">
      <c r="A16" s="51" t="inlineStr">
        <is>
          <t>CODE &lt;GO&gt;</t>
        </is>
      </c>
      <c r="B16" s="52" t="inlineStr">
        <is>
          <t>REPOS</t>
        </is>
      </c>
      <c r="C16" s="52" t="inlineStr">
        <is>
          <t>Repository health</t>
        </is>
      </c>
      <c r="D16" s="52" t="inlineStr">
        <is>
          <t>2 dirty repos</t>
        </is>
      </c>
      <c r="E16" s="52" t="inlineStr">
        <is>
          <t>Weekly</t>
        </is>
      </c>
      <c r="F16" s="53" t="inlineStr">
        <is>
          <t>Commit or clean</t>
        </is>
      </c>
      <c r="G16" s="35" t="n"/>
      <c r="H16" s="35" t="n"/>
      <c r="I16" s="35" t="n"/>
      <c r="J16" s="35" t="n"/>
      <c r="K16" s="35" t="n"/>
      <c r="L16" s="35" t="n"/>
      <c r="M16" s="34" t="n"/>
    </row>
    <row r="17">
      <c r="A17" s="51" t="inlineStr">
        <is>
          <t>PROJ &lt;GO&gt;</t>
        </is>
      </c>
      <c r="B17" s="52" t="inlineStr">
        <is>
          <t>PROJECTS</t>
        </is>
      </c>
      <c r="C17" s="52" t="inlineStr">
        <is>
          <t>Operational status board</t>
        </is>
      </c>
      <c r="D17" s="52" t="inlineStr">
        <is>
          <t>2 active / 4 paused</t>
        </is>
      </c>
      <c r="E17" s="52" t="inlineStr">
        <is>
          <t>Weekly</t>
        </is>
      </c>
      <c r="F17" s="53" t="inlineStr">
        <is>
          <t>Advance next action</t>
        </is>
      </c>
      <c r="G17" s="35" t="n"/>
      <c r="H17" s="124" t="inlineStr">
        <is>
          <t>KEYBOARD COLOR LANGUAGE</t>
        </is>
      </c>
      <c r="M17" s="34" t="n"/>
    </row>
    <row r="18" ht="16" customHeight="1" thickBot="1">
      <c r="A18" s="51" t="inlineStr">
        <is>
          <t>CFG &lt;GO&gt;</t>
        </is>
      </c>
      <c r="B18" s="52" t="inlineStr">
        <is>
          <t>CONFIG</t>
        </is>
      </c>
      <c r="C18" s="52" t="inlineStr">
        <is>
          <t>Thresholds and parameters</t>
        </is>
      </c>
      <c r="D18" s="52" t="inlineStr">
        <is>
          <t>User-controlled limits</t>
        </is>
      </c>
      <c r="E18" s="52" t="inlineStr">
        <is>
          <t>As needed</t>
        </is>
      </c>
      <c r="F18" s="53" t="inlineStr">
        <is>
          <t>Tune alerts</t>
        </is>
      </c>
      <c r="G18" s="35" t="n"/>
      <c r="H18" s="40" t="inlineStr">
        <is>
          <t>YELLOW</t>
        </is>
      </c>
      <c r="I18" s="39" t="inlineStr">
        <is>
          <t>Market / domain context</t>
        </is>
      </c>
      <c r="J18" s="39" t="inlineStr">
        <is>
          <t>SUBS, FLOW</t>
        </is>
      </c>
      <c r="K18" s="39" t="inlineStr">
        <is>
          <t>Choose the analytical domain</t>
        </is>
      </c>
      <c r="L18" s="41" t="n"/>
      <c r="M18" s="34" t="n"/>
    </row>
    <row r="19">
      <c r="A19" s="51" t="inlineStr">
        <is>
          <t>FLOW &lt;GO&gt;</t>
        </is>
      </c>
      <c r="B19" s="52" t="inlineStr">
        <is>
          <t>MONTHLY</t>
        </is>
      </c>
      <c r="C19" s="52" t="inlineStr">
        <is>
          <t>Monthly outflow monitor</t>
        </is>
      </c>
      <c r="D19" s="52" t="inlineStr">
        <is>
          <t>R$83.1k out H1</t>
        </is>
      </c>
      <c r="E19" s="52" t="inlineStr">
        <is>
          <t>Monthly</t>
        </is>
      </c>
      <c r="F19" s="53" t="inlineStr">
        <is>
          <t>Review spikes</t>
        </is>
      </c>
      <c r="G19" s="35" t="n"/>
      <c r="H19" s="59" t="inlineStr">
        <is>
          <t>GREEN</t>
        </is>
      </c>
      <c r="I19" s="49" t="inlineStr">
        <is>
          <t>Execute / confirmed</t>
        </is>
      </c>
      <c r="J19" s="49" t="inlineStr">
        <is>
          <t>KEEP, Active, Confirmed</t>
        </is>
      </c>
      <c r="K19" s="49" t="inlineStr">
        <is>
          <t>Proceed or accept</t>
        </is>
      </c>
      <c r="L19" s="50" t="n"/>
      <c r="M19" s="34" t="n"/>
    </row>
    <row r="20">
      <c r="A20" s="51" t="inlineStr">
        <is>
          <t>RISK &lt;GO&gt;</t>
        </is>
      </c>
      <c r="B20" s="52" t="inlineStr">
        <is>
          <t>ALERTS</t>
        </is>
      </c>
      <c r="C20" s="52" t="inlineStr">
        <is>
          <t>Cross-domain action register</t>
        </is>
      </c>
      <c r="D20" s="52" t="inlineStr">
        <is>
          <t>2 critical pending</t>
        </is>
      </c>
      <c r="E20" s="52" t="inlineStr">
        <is>
          <t>Daily</t>
        </is>
      </c>
      <c r="F20" s="53" t="inlineStr">
        <is>
          <t>Resolve by severity</t>
        </is>
      </c>
      <c r="G20" s="35" t="n"/>
      <c r="H20" s="60" t="inlineStr">
        <is>
          <t>RED</t>
        </is>
      </c>
      <c r="I20" s="52" t="inlineStr">
        <is>
          <t>Cancel / critical</t>
        </is>
      </c>
      <c r="J20" s="52" t="inlineStr">
        <is>
          <t>CANCEL, CRITICAL, negative</t>
        </is>
      </c>
      <c r="K20" s="52" t="inlineStr">
        <is>
          <t>Stop or remediate</t>
        </is>
      </c>
      <c r="L20" s="53" t="n"/>
      <c r="M20" s="34" t="n"/>
    </row>
    <row r="21">
      <c r="A21" s="51" t="n"/>
      <c r="B21" s="52" t="n"/>
      <c r="C21" s="52" t="n"/>
      <c r="D21" s="52" t="n"/>
      <c r="E21" s="52" t="n"/>
      <c r="F21" s="53" t="n"/>
      <c r="G21" s="35" t="n"/>
      <c r="H21" s="61" t="inlineStr">
        <is>
          <t>BLUE</t>
        </is>
      </c>
      <c r="I21" s="52" t="inlineStr">
        <is>
          <t>Panel / editable input</t>
        </is>
      </c>
      <c r="J21" s="52" t="inlineStr">
        <is>
          <t>CONFIG and input cells</t>
        </is>
      </c>
      <c r="K21" s="52" t="inlineStr">
        <is>
          <t>Switch or update</t>
        </is>
      </c>
      <c r="L21" s="53" t="inlineStr">
        <is>
          <t xml:space="preserve"> </t>
        </is>
      </c>
      <c r="M21" s="34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4" t="n"/>
    </row>
    <row r="23" ht="22" customHeight="1">
      <c r="A23" s="124" t="inlineStr">
        <is>
          <t>STORY IN BRIEF</t>
        </is>
      </c>
      <c r="M23" s="34" t="n"/>
    </row>
    <row r="24" ht="16" customHeight="1" thickBot="1">
      <c r="A24" s="181">
        <f>"1. LIQUIDITY | Total liquid balance is "&amp;FIXED(BALANCES!C9,0,FALSE)&amp;" BRL across Inter, Mercado Pago and BB."</f>
        <v/>
      </c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3" t="n"/>
      <c r="M24" s="34" t="n"/>
    </row>
    <row r="25">
      <c r="A25" s="184">
        <f>"2. SPEND | Card spend peaked at "&amp;FIXED(MAX(MONTHLY!B5:B10),0,FALSE)&amp;" BRL; June fell "&amp;FIXED(ABS(MONTHLY!D17)*100,1,FALSE)&amp;"% month over month."</f>
        <v/>
      </c>
      <c r="L25" s="175" t="n"/>
      <c r="M25" s="34" t="n"/>
    </row>
    <row r="26">
      <c r="A26" s="185">
        <f>"3. SUBSCRIPTIONS | The confirmed cancellation queue saves "&amp;FIXED(SUBSCRIPTIONS!E23,2,FALSE)&amp;" BRL per month and "&amp;FIXED(SUBSCRIPTIONS!E26,2,FALSE)&amp;" BRL per year."</f>
        <v/>
      </c>
      <c r="L26" s="175" t="n"/>
      <c r="M26" s="34" t="n"/>
    </row>
    <row r="27">
      <c r="A27" s="186">
        <f>"4. PRIORITY | "&amp;COUNTIFS(ALERTS!B5:B16,"CRITICAL",ALERTS!G5:G16,"Pending")&amp;" critical alerts remain pending; ML Volume carries the largest exposure."</f>
        <v/>
      </c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80" t="n"/>
      <c r="M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</row>
  </sheetData>
  <mergeCells count="20">
    <mergeCell ref="A25:L25"/>
    <mergeCell ref="H10:L10"/>
    <mergeCell ref="K5:L5"/>
    <mergeCell ref="A27:L27"/>
    <mergeCell ref="A3:L3"/>
    <mergeCell ref="A26:L26"/>
    <mergeCell ref="A2:L2"/>
    <mergeCell ref="D6:F7"/>
    <mergeCell ref="A23:L23"/>
    <mergeCell ref="D8:F8"/>
    <mergeCell ref="H6:J7"/>
    <mergeCell ref="A10:F10"/>
    <mergeCell ref="H17:L17"/>
    <mergeCell ref="D5:F5"/>
    <mergeCell ref="K8:L8"/>
    <mergeCell ref="K6:L7"/>
    <mergeCell ref="H5:J5"/>
    <mergeCell ref="H8:J8"/>
    <mergeCell ref="A24:L24"/>
    <mergeCell ref="A1:L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K13" sqref="K13"/>
    </sheetView>
  </sheetViews>
  <sheetFormatPr baseColWidth="10" defaultRowHeight="15"/>
  <cols>
    <col width="11.6640625" customWidth="1" min="1" max="1"/>
    <col width="23.33203125" customWidth="1" min="2" max="2"/>
    <col width="33.33203125" customWidth="1" min="3" max="4"/>
    <col width="23.33203125" customWidth="1" min="5" max="5"/>
    <col width="14.1640625" customWidth="1" min="6" max="6"/>
  </cols>
  <sheetData>
    <row r="1" ht="32" customHeight="1">
      <c r="A1" s="160" t="inlineStr">
        <is>
          <t>LAST 03 INFRASTRUCTURE CHANGES — INFERRED</t>
        </is>
      </c>
    </row>
    <row r="2" ht="30" customHeight="1">
      <c r="A2" s="161" t="inlineStr">
        <is>
          <t>Current-state reconstruction; workbook change history was unavailable. BEFORE states are explicitly inferred.</t>
        </is>
      </c>
    </row>
    <row r="4" ht="16" customHeight="1">
      <c r="A4" s="162" t="inlineStr">
        <is>
          <t>CHANGE REGISTER</t>
        </is>
      </c>
    </row>
    <row r="5">
      <c r="A5" s="163" t="inlineStr">
        <is>
          <t>ID</t>
        </is>
      </c>
      <c r="B5" s="163" t="inlineStr">
        <is>
          <t>Infrastructure Area</t>
        </is>
      </c>
      <c r="C5" s="163" t="inlineStr">
        <is>
          <t>BEFORE (inferred)</t>
        </is>
      </c>
      <c r="D5" s="163" t="inlineStr">
        <is>
          <t>AFTER (current state)</t>
        </is>
      </c>
      <c r="E5" s="163" t="inlineStr">
        <is>
          <t>Workbook Evidence</t>
        </is>
      </c>
      <c r="F5" s="163" t="inlineStr">
        <is>
          <t>Classification</t>
        </is>
      </c>
    </row>
    <row r="6" ht="48" customHeight="1">
      <c r="A6" s="164" t="n">
        <v>1</v>
      </c>
      <c r="B6" s="165" t="inlineStr">
        <is>
          <t>Command monitoring</t>
        </is>
      </c>
      <c r="C6" s="165" t="inlineStr">
        <is>
          <t>Operational monitors were reviewed separately across individual tabs.</t>
        </is>
      </c>
      <c r="D6" s="165" t="inlineStr">
        <is>
          <t>TERMINAL centralizes 9 function links and a cross-domain risk monitor in one command workspace.</t>
        </is>
      </c>
      <c r="E6" s="165" t="inlineStr">
        <is>
          <t>TERMINAL!A10:L21</t>
        </is>
      </c>
      <c r="F6" s="164" t="inlineStr">
        <is>
          <t>Inferred</t>
        </is>
      </c>
    </row>
    <row r="7" ht="32" customHeight="1">
      <c r="A7" s="164" t="n">
        <v>2</v>
      </c>
      <c r="B7" s="165" t="inlineStr">
        <is>
          <t>Repository health</t>
        </is>
      </c>
      <c r="C7" s="165" t="inlineStr">
        <is>
          <t>Repository status was checked manually without a consolidated health view.</t>
        </is>
      </c>
      <c r="D7" s="165" t="inlineStr">
        <is>
          <t>REPOS tracks 2 repositories; both are dirty, with risk scores of 27 and 30.</t>
        </is>
      </c>
      <c r="E7" s="165" t="inlineStr">
        <is>
          <t>REPOS!A4:J12</t>
        </is>
      </c>
      <c r="F7" s="164" t="inlineStr">
        <is>
          <t>Inferred</t>
        </is>
      </c>
    </row>
    <row r="8" ht="48" customHeight="1">
      <c r="A8" s="164" t="n">
        <v>3</v>
      </c>
      <c r="B8" s="165" t="inlineStr">
        <is>
          <t>Alert controls</t>
        </is>
      </c>
      <c r="C8" s="165" t="inlineStr">
        <is>
          <t>Thresholds and risks were handled as fixed or separate manual checks.</t>
        </is>
      </c>
      <c r="D8" s="165" t="inlineStr">
        <is>
          <t>CONFIG exposes 7 operational thresholds; ALERTS consolidates 7 findings, including 2 critical items.</t>
        </is>
      </c>
      <c r="E8" s="165" t="inlineStr">
        <is>
          <t>CONFIG!A4:D11; ALERTS!A4:G11</t>
        </is>
      </c>
      <c r="F8" s="164" t="inlineStr">
        <is>
          <t>Inferred</t>
        </is>
      </c>
    </row>
    <row r="10" ht="16" customHeight="1">
      <c r="A10" s="162" t="inlineStr">
        <is>
          <t>EXAMPLE 01 — REPOSITORY HEALTH CONTROL</t>
        </is>
      </c>
    </row>
    <row r="11">
      <c r="A11" s="166" t="inlineStr">
        <is>
          <t>Field</t>
        </is>
      </c>
      <c r="B11" s="166" t="inlineStr">
        <is>
          <t>Example</t>
        </is>
      </c>
    </row>
    <row r="12" ht="48" customHeight="1">
      <c r="A12" s="167" t="inlineStr">
        <is>
          <t>BEFORE</t>
        </is>
      </c>
      <c r="B12" s="168" t="inlineStr">
        <is>
          <t>Manual repository inspection with no common risk score.</t>
        </is>
      </c>
    </row>
    <row r="13" ht="48" customHeight="1">
      <c r="A13" s="167" t="inlineStr">
        <is>
          <t>AFTER</t>
        </is>
      </c>
      <c r="B13" s="168" t="inlineStr">
        <is>
          <t>Weekly REPOS monitor flags staleness and dirty files for action.</t>
        </is>
      </c>
    </row>
    <row r="14" ht="48" customHeight="1">
      <c r="A14" s="167" t="inlineStr">
        <is>
          <t>Current result</t>
        </is>
      </c>
      <c r="B14" s="168" t="inlineStr">
        <is>
          <t>financas-2026: 2 dirty files, 57 days since commit, risk score 27 → Commit or clean.</t>
        </is>
      </c>
    </row>
    <row r="16">
      <c r="A16" s="169" t="inlineStr">
        <is>
          <t>NOTE: These entries document the current architecture and are not audit-confirmed historical events.</t>
        </is>
      </c>
    </row>
  </sheetData>
  <mergeCells count="5">
    <mergeCell ref="A2:F2"/>
    <mergeCell ref="A16:F16"/>
    <mergeCell ref="A10:F10"/>
    <mergeCell ref="A1:F1"/>
    <mergeCell ref="A4:F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6600"/>
    <outlinePr summaryBelow="1" summaryRight="1"/>
    <pageSetUpPr/>
  </sheetPr>
  <dimension ref="A1:H24"/>
  <sheetViews>
    <sheetView zoomScale="200" zoomScaleNormal="2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8" customWidth="1" min="1" max="1"/>
    <col width="12" customWidth="1" min="2" max="2"/>
    <col width="16" customWidth="1" min="3" max="4"/>
    <col width="14" customWidth="1" min="5" max="5"/>
    <col width="12" customWidth="1" min="6" max="6"/>
    <col width="45" customWidth="1" min="7" max="7"/>
  </cols>
  <sheetData>
    <row r="1" ht="16" customHeight="1">
      <c r="A1" s="65" t="inlineStr">
        <is>
          <t>◆ BALANCES — Bank Accounts</t>
        </is>
      </c>
      <c r="B1" s="66" t="n"/>
      <c r="C1" s="66" t="n"/>
      <c r="D1" s="66" t="n"/>
      <c r="E1" s="66" t="n"/>
      <c r="F1" s="66" t="n"/>
      <c r="G1" s="66" t="n"/>
      <c r="H1" s="34" t="n"/>
    </row>
    <row r="2">
      <c r="A2" s="67" t="inlineStr">
        <is>
          <t>Update balances weekly. Blue cells = your input. Black cells = formulas.</t>
        </is>
      </c>
      <c r="B2" s="141" t="n"/>
      <c r="C2" s="141" t="n"/>
      <c r="D2" s="141" t="n"/>
      <c r="E2" s="141" t="n"/>
      <c r="F2" s="141" t="n"/>
      <c r="G2" s="141" t="n"/>
      <c r="H2" s="34" t="n"/>
    </row>
    <row r="3">
      <c r="A3" s="35" t="n"/>
      <c r="B3" s="35" t="n"/>
      <c r="C3" s="35" t="n"/>
      <c r="D3" s="35" t="n"/>
      <c r="E3" s="35" t="n"/>
      <c r="F3" s="35" t="n"/>
      <c r="G3" s="35" t="n"/>
      <c r="H3" s="34" t="n"/>
    </row>
    <row r="4" ht="16" customHeight="1" thickBot="1">
      <c r="A4" s="78" t="inlineStr">
        <is>
          <t>Institution</t>
        </is>
      </c>
      <c r="B4" s="77" t="inlineStr">
        <is>
          <t>Type</t>
        </is>
      </c>
      <c r="C4" s="77" t="inlineStr">
        <is>
          <t>Balance (BRL)</t>
        </is>
      </c>
      <c r="D4" s="77" t="inlineStr">
        <is>
          <t>Balance (USD)</t>
        </is>
      </c>
      <c r="E4" s="77" t="inlineStr">
        <is>
          <t>Last Updated</t>
        </is>
      </c>
      <c r="F4" s="77" t="inlineStr">
        <is>
          <t>Status</t>
        </is>
      </c>
      <c r="G4" s="79" t="inlineStr">
        <is>
          <t>Notes</t>
        </is>
      </c>
      <c r="H4" s="34" t="n"/>
    </row>
    <row r="5">
      <c r="A5" s="80" t="inlineStr">
        <is>
          <t>Banco Inter</t>
        </is>
      </c>
      <c r="B5" s="81" t="inlineStr">
        <is>
          <t>Digital</t>
        </is>
      </c>
      <c r="C5" s="101" t="n">
        <v>18934.67</v>
      </c>
      <c r="D5" s="102" t="n"/>
      <c r="E5" s="105" t="inlineStr">
        <is>
          <t>2026-07-13</t>
        </is>
      </c>
      <c r="F5" s="99" t="inlineStr">
        <is>
          <t>CONFIRMED</t>
        </is>
      </c>
      <c r="G5" s="83" t="inlineStr">
        <is>
          <t>Conta 662710-2 · R$18,922.07 disp + R$12.60 bloq</t>
        </is>
      </c>
      <c r="H5" s="34" t="n"/>
    </row>
    <row r="6">
      <c r="A6" s="84" t="inlineStr">
        <is>
          <t>Mercado Pago</t>
        </is>
      </c>
      <c r="B6" s="85" t="inlineStr">
        <is>
          <t>Digital</t>
        </is>
      </c>
      <c r="C6" s="103" t="n">
        <v>4262.23</v>
      </c>
      <c r="D6" s="104" t="n"/>
      <c r="E6" s="106" t="inlineStr">
        <is>
          <t>2026-07-12</t>
        </is>
      </c>
      <c r="F6" s="100" t="inlineStr">
        <is>
          <t>CONFIRMED</t>
        </is>
      </c>
      <c r="G6" s="87" t="inlineStr">
        <is>
          <t>Extrato MP PDF 01-12/Jul/2026</t>
        </is>
      </c>
      <c r="H6" s="34" t="n"/>
    </row>
    <row r="7">
      <c r="A7" s="84" t="inlineStr">
        <is>
          <t>BB Brasil</t>
        </is>
      </c>
      <c r="B7" s="85" t="inlineStr">
        <is>
          <t>Checking</t>
        </is>
      </c>
      <c r="C7" s="103" t="n">
        <v>0</v>
      </c>
      <c r="D7" s="104" t="n"/>
      <c r="E7" s="106" t="inlineStr">
        <is>
          <t>2026-07-13</t>
        </is>
      </c>
      <c r="F7" s="100" t="inlineStr">
        <is>
          <t>CONFIRMED</t>
        </is>
      </c>
      <c r="G7" s="87" t="inlineStr">
        <is>
          <t>Rende Fácil balance not in export</t>
        </is>
      </c>
      <c r="H7" s="34" t="n"/>
    </row>
    <row r="8" ht="16" customHeight="1" thickBot="1">
      <c r="A8" s="35" t="n"/>
      <c r="B8" s="35" t="n"/>
      <c r="C8" s="35" t="n"/>
      <c r="D8" s="35" t="n"/>
      <c r="E8" s="35" t="n"/>
      <c r="F8" s="35" t="n"/>
      <c r="G8" s="35" t="n"/>
      <c r="H8" s="34" t="n"/>
    </row>
    <row r="9" ht="16" customHeight="1" thickBot="1">
      <c r="A9" s="71" t="inlineStr">
        <is>
          <t>TOTAL LIQUID</t>
        </is>
      </c>
      <c r="B9" s="72" t="n"/>
      <c r="C9" s="73">
        <f>SUM(C5:C7)</f>
        <v/>
      </c>
      <c r="D9" s="72" t="n"/>
      <c r="E9" s="72" t="n"/>
      <c r="F9" s="72" t="n"/>
      <c r="G9" s="72" t="n"/>
      <c r="H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4" t="n"/>
    </row>
    <row r="11">
      <c r="H11" s="34" t="n"/>
    </row>
    <row r="12" ht="16" customHeight="1" thickBot="1">
      <c r="H12" s="34" t="n"/>
    </row>
    <row r="13">
      <c r="H13" s="34" t="n"/>
    </row>
    <row r="14">
      <c r="H14" s="34" t="n"/>
    </row>
    <row r="15" ht="16" customHeight="1" thickBot="1">
      <c r="H15" s="34" t="n"/>
    </row>
    <row r="16" ht="16" customHeight="1" thickBot="1">
      <c r="H16" s="34" t="n"/>
    </row>
    <row r="17" ht="16" customHeight="1" thickBot="1">
      <c r="H17" s="34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4" t="n"/>
    </row>
    <row r="19">
      <c r="A19" s="74" t="inlineStr">
        <is>
          <t>LEGEND</t>
        </is>
      </c>
      <c r="B19" s="124" t="n"/>
      <c r="C19" s="124" t="n"/>
      <c r="D19" s="124" t="n"/>
      <c r="E19" s="124" t="n"/>
      <c r="F19" s="124" t="n"/>
      <c r="G19" s="124" t="n"/>
      <c r="H19" s="34" t="n"/>
    </row>
    <row r="20" ht="16" customHeight="1" thickBot="1">
      <c r="A20" s="94" t="inlineStr">
        <is>
          <t>🔵 Blue text = your input (edit these cells)</t>
        </is>
      </c>
      <c r="B20" s="42" t="n"/>
      <c r="C20" s="42" t="n"/>
      <c r="D20" s="42" t="n"/>
      <c r="E20" s="42" t="n"/>
      <c r="F20" s="42" t="n"/>
      <c r="G20" s="43" t="n"/>
      <c r="H20" s="34" t="n"/>
    </row>
    <row r="21">
      <c r="A21" s="95" t="inlineStr">
        <is>
          <t>⚫ Black text = formula (do not edit)</t>
        </is>
      </c>
      <c r="B21" s="44" t="n"/>
      <c r="C21" s="44" t="n"/>
      <c r="D21" s="44" t="n"/>
      <c r="E21" s="44" t="n"/>
      <c r="F21" s="44" t="n"/>
      <c r="G21" s="45" t="n"/>
      <c r="H21" s="34" t="n"/>
    </row>
    <row r="22">
      <c r="H22" s="34" t="n"/>
    </row>
    <row r="23">
      <c r="A23" s="96" t="inlineStr">
        <is>
          <t>🟡 Yellow background = input cells</t>
        </is>
      </c>
      <c r="B23" s="46" t="n"/>
      <c r="C23" s="46" t="n"/>
      <c r="D23" s="46" t="n"/>
      <c r="E23" s="46" t="n"/>
      <c r="F23" s="46" t="n"/>
      <c r="G23" s="47" t="n"/>
      <c r="H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6600"/>
    <outlinePr summaryBelow="1" summaryRight="1"/>
    <pageSetUpPr/>
  </sheetPr>
  <dimension ref="A1:H7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5" customWidth="1" min="1" max="1"/>
    <col width="13" customWidth="1" min="2" max="2"/>
    <col width="10" customWidth="1" min="3" max="3"/>
    <col width="42" customWidth="1" min="4" max="4"/>
    <col width="14" customWidth="1" min="5" max="5"/>
    <col width="18" customWidth="1" min="6" max="6"/>
    <col width="12" customWidth="1" min="7" max="7"/>
  </cols>
  <sheetData>
    <row r="1" ht="16" customHeight="1">
      <c r="A1" s="65" t="inlineStr">
        <is>
          <t>◆ TRANSACTIONS — MP Faturas Card Statement</t>
        </is>
      </c>
      <c r="B1" s="66" t="n"/>
      <c r="C1" s="66" t="n"/>
      <c r="D1" s="66" t="n"/>
      <c r="E1" s="66" t="n"/>
      <c r="F1" s="66" t="n"/>
      <c r="G1" s="66" t="n"/>
      <c r="H1" s="34" t="n"/>
    </row>
    <row r="2">
      <c r="A2" s="67" t="inlineStr">
        <is>
          <t>Paste new transactions when each fatura closes. 146 entries Jan-Jun 2026.</t>
        </is>
      </c>
      <c r="B2" s="141" t="n"/>
      <c r="C2" s="141" t="n"/>
      <c r="D2" s="141" t="n"/>
      <c r="E2" s="141" t="n"/>
      <c r="F2" s="141" t="n"/>
      <c r="G2" s="141" t="n"/>
      <c r="H2" s="34" t="n"/>
    </row>
    <row r="3">
      <c r="A3" s="35" t="n"/>
      <c r="B3" s="35" t="n"/>
      <c r="C3" s="35" t="n"/>
      <c r="D3" s="35" t="n"/>
      <c r="E3" s="35" t="n"/>
      <c r="F3" s="35" t="n"/>
      <c r="G3" s="35" t="n"/>
      <c r="H3" s="34" t="n"/>
    </row>
    <row r="4" ht="16" customHeight="1" thickBot="1">
      <c r="A4" s="78" t="inlineStr">
        <is>
          <t>#</t>
        </is>
      </c>
      <c r="B4" s="77" t="inlineStr">
        <is>
          <t>Date</t>
        </is>
      </c>
      <c r="C4" s="77" t="inlineStr">
        <is>
          <t>Fatura</t>
        </is>
      </c>
      <c r="D4" s="77" t="inlineStr">
        <is>
          <t>Merchant</t>
        </is>
      </c>
      <c r="E4" s="77" t="inlineStr">
        <is>
          <t>Value (BRL)</t>
        </is>
      </c>
      <c r="F4" s="77" t="inlineStr">
        <is>
          <t>Category</t>
        </is>
      </c>
      <c r="G4" s="79" t="inlineStr">
        <is>
          <t>International</t>
        </is>
      </c>
      <c r="H4" s="34" t="n"/>
    </row>
    <row r="5">
      <c r="A5" s="80" t="n">
        <v>1</v>
      </c>
      <c r="B5" s="81" t="inlineStr">
        <is>
          <t>2026-01-06</t>
        </is>
      </c>
      <c r="C5" s="81" t="inlineStr">
        <is>
          <t>2026-02</t>
        </is>
      </c>
      <c r="D5" s="81" t="inlineStr">
        <is>
          <t>IFD*PIZZA NOW INTERMARES</t>
        </is>
      </c>
      <c r="E5" s="115" t="n">
        <v>-173.79</v>
      </c>
      <c r="F5" s="81" t="inlineStr">
        <is>
          <t>Delivery/iFood</t>
        </is>
      </c>
      <c r="G5" s="116" t="inlineStr">
        <is>
          <t>Não</t>
        </is>
      </c>
      <c r="H5" s="34" t="n"/>
    </row>
    <row r="6">
      <c r="A6" s="84" t="n">
        <v>2</v>
      </c>
      <c r="B6" s="85" t="inlineStr">
        <is>
          <t>2026-01-08</t>
        </is>
      </c>
      <c r="C6" s="85" t="inlineStr">
        <is>
          <t>2026-02</t>
        </is>
      </c>
      <c r="D6" s="85" t="inlineStr">
        <is>
          <t>OPENAI *CHATGPT SUBSCR</t>
        </is>
      </c>
      <c r="E6" s="117" t="n">
        <v>-111.58</v>
      </c>
      <c r="F6" s="85" t="inlineStr">
        <is>
          <t>IA/Tecnologia</t>
        </is>
      </c>
      <c r="G6" s="118" t="inlineStr">
        <is>
          <t>Sim</t>
        </is>
      </c>
      <c r="H6" s="34" t="n"/>
    </row>
    <row r="7">
      <c r="A7" s="84" t="n">
        <v>3</v>
      </c>
      <c r="B7" s="85" t="inlineStr">
        <is>
          <t>2026-01-08</t>
        </is>
      </c>
      <c r="C7" s="85" t="inlineStr">
        <is>
          <t>2026-02</t>
        </is>
      </c>
      <c r="D7" s="85" t="inlineStr">
        <is>
          <t>APPLE.COM/BILL</t>
        </is>
      </c>
      <c r="E7" s="117" t="n">
        <v>-21.9</v>
      </c>
      <c r="F7" s="85" t="inlineStr">
        <is>
          <t>Assinatura</t>
        </is>
      </c>
      <c r="G7" s="118" t="inlineStr">
        <is>
          <t>Não</t>
        </is>
      </c>
      <c r="H7" s="34" t="n"/>
    </row>
    <row r="8">
      <c r="A8" s="84" t="n">
        <v>4</v>
      </c>
      <c r="B8" s="85" t="inlineStr">
        <is>
          <t>2026-01-10</t>
        </is>
      </c>
      <c r="C8" s="85" t="inlineStr">
        <is>
          <t>2026-02</t>
        </is>
      </c>
      <c r="D8" s="85" t="inlineStr">
        <is>
          <t>IFD*34531468 EDWIN LEI</t>
        </is>
      </c>
      <c r="E8" s="117" t="n">
        <v>-111.6</v>
      </c>
      <c r="F8" s="85" t="inlineStr">
        <is>
          <t>Delivery/iFood</t>
        </is>
      </c>
      <c r="G8" s="118" t="inlineStr">
        <is>
          <t>Não</t>
        </is>
      </c>
      <c r="H8" s="34" t="n"/>
    </row>
    <row r="9">
      <c r="A9" s="84" t="n">
        <v>5</v>
      </c>
      <c r="B9" s="85" t="inlineStr">
        <is>
          <t>2026-01-10</t>
        </is>
      </c>
      <c r="C9" s="85" t="inlineStr">
        <is>
          <t>2026-02</t>
        </is>
      </c>
      <c r="D9" s="85" t="inlineStr">
        <is>
          <t>APPLE.COM/BILL</t>
        </is>
      </c>
      <c r="E9" s="117" t="n">
        <v>-19.9</v>
      </c>
      <c r="F9" s="85" t="inlineStr">
        <is>
          <t>Assinatura</t>
        </is>
      </c>
      <c r="G9" s="118" t="inlineStr">
        <is>
          <t>Não</t>
        </is>
      </c>
      <c r="H9" s="34" t="n"/>
    </row>
    <row r="10">
      <c r="A10" s="84" t="n">
        <v>6</v>
      </c>
      <c r="B10" s="85" t="inlineStr">
        <is>
          <t>2026-01-14</t>
        </is>
      </c>
      <c r="C10" s="85" t="inlineStr">
        <is>
          <t>2026-02</t>
        </is>
      </c>
      <c r="D10" s="85" t="inlineStr">
        <is>
          <t>MANUS AI</t>
        </is>
      </c>
      <c r="E10" s="117" t="n">
        <v>-25.79</v>
      </c>
      <c r="F10" s="85" t="inlineStr">
        <is>
          <t>IA/Tecnologia</t>
        </is>
      </c>
      <c r="G10" s="118" t="inlineStr">
        <is>
          <t>Sim</t>
        </is>
      </c>
      <c r="H10" s="34" t="n"/>
    </row>
    <row r="11">
      <c r="A11" s="84" t="n">
        <v>7</v>
      </c>
      <c r="B11" s="85" t="inlineStr">
        <is>
          <t>2026-01-15</t>
        </is>
      </c>
      <c r="C11" s="85" t="inlineStr">
        <is>
          <t>2026-02</t>
        </is>
      </c>
      <c r="D11" s="85" t="inlineStr">
        <is>
          <t>DL*Starlink Braz</t>
        </is>
      </c>
      <c r="E11" s="117" t="n">
        <v>-235.52</v>
      </c>
      <c r="F11" s="85" t="inlineStr">
        <is>
          <t>Internet</t>
        </is>
      </c>
      <c r="G11" s="118" t="inlineStr">
        <is>
          <t>Não</t>
        </is>
      </c>
      <c r="H11" s="34" t="n"/>
    </row>
    <row r="12">
      <c r="A12" s="84" t="n">
        <v>8</v>
      </c>
      <c r="B12" s="85" t="inlineStr">
        <is>
          <t>2026-01-16</t>
        </is>
      </c>
      <c r="C12" s="85" t="inlineStr">
        <is>
          <t>2026-02</t>
        </is>
      </c>
      <c r="D12" s="85" t="inlineStr">
        <is>
          <t>MP*LOTERIASONLINEU1AQ</t>
        </is>
      </c>
      <c r="E12" s="117" t="n">
        <v>-143.6</v>
      </c>
      <c r="F12" s="85" t="inlineStr">
        <is>
          <t>Loteria</t>
        </is>
      </c>
      <c r="G12" s="118" t="inlineStr">
        <is>
          <t>Sim</t>
        </is>
      </c>
      <c r="H12" s="34" t="n"/>
    </row>
    <row r="13">
      <c r="A13" s="84" t="n">
        <v>9</v>
      </c>
      <c r="B13" s="85" t="inlineStr">
        <is>
          <t>2026-01-16</t>
        </is>
      </c>
      <c r="C13" s="85" t="inlineStr">
        <is>
          <t>2026-02</t>
        </is>
      </c>
      <c r="D13" s="85" t="inlineStr">
        <is>
          <t>IFD*FORMAGGIO RESTAURANTE</t>
        </is>
      </c>
      <c r="E13" s="117" t="n">
        <v>-191.8</v>
      </c>
      <c r="F13" s="85" t="inlineStr">
        <is>
          <t>Delivery/iFood</t>
        </is>
      </c>
      <c r="G13" s="118" t="inlineStr">
        <is>
          <t>Sim</t>
        </is>
      </c>
      <c r="H13" s="34" t="n"/>
    </row>
    <row r="14">
      <c r="A14" s="84" t="n">
        <v>10</v>
      </c>
      <c r="B14" s="85" t="inlineStr">
        <is>
          <t>2026-01-17</t>
        </is>
      </c>
      <c r="C14" s="85" t="inlineStr">
        <is>
          <t>2026-02</t>
        </is>
      </c>
      <c r="D14" s="85" t="inlineStr">
        <is>
          <t>OPENAI *CHATGPT SUBSCR</t>
        </is>
      </c>
      <c r="E14" s="117" t="n">
        <v>-111.37</v>
      </c>
      <c r="F14" s="85" t="inlineStr">
        <is>
          <t>IA/Tecnologia</t>
        </is>
      </c>
      <c r="G14" s="118" t="inlineStr">
        <is>
          <t>Sim</t>
        </is>
      </c>
      <c r="H14" s="34" t="n"/>
    </row>
    <row r="15">
      <c r="A15" s="84" t="n">
        <v>11</v>
      </c>
      <c r="B15" s="85" t="inlineStr">
        <is>
          <t>2026-01-17</t>
        </is>
      </c>
      <c r="C15" s="85" t="inlineStr">
        <is>
          <t>2026-02</t>
        </is>
      </c>
      <c r="D15" s="85" t="inlineStr">
        <is>
          <t>MP*LOTERIASONLINE542V</t>
        </is>
      </c>
      <c r="E15" s="117" t="n">
        <v>-111</v>
      </c>
      <c r="F15" s="85" t="inlineStr">
        <is>
          <t>Loteria</t>
        </is>
      </c>
      <c r="G15" s="118" t="inlineStr">
        <is>
          <t>Sim</t>
        </is>
      </c>
      <c r="H15" s="34" t="n"/>
    </row>
    <row r="16">
      <c r="A16" s="84" t="n">
        <v>12</v>
      </c>
      <c r="B16" s="85" t="inlineStr">
        <is>
          <t>2026-01-19</t>
        </is>
      </c>
      <c r="C16" s="85" t="inlineStr">
        <is>
          <t>2026-02</t>
        </is>
      </c>
      <c r="D16" s="85" t="inlineStr">
        <is>
          <t>LEMSQZY* PINEAPPLE-APP</t>
        </is>
      </c>
      <c r="E16" s="117" t="n">
        <v>-111.11</v>
      </c>
      <c r="F16" s="85" t="inlineStr">
        <is>
          <t>Assinatura</t>
        </is>
      </c>
      <c r="G16" s="118" t="inlineStr">
        <is>
          <t>Sim</t>
        </is>
      </c>
      <c r="H16" s="34" t="n"/>
    </row>
    <row r="17">
      <c r="A17" s="84" t="n">
        <v>13</v>
      </c>
      <c r="B17" s="85" t="inlineStr">
        <is>
          <t>2026-01-21</t>
        </is>
      </c>
      <c r="C17" s="85" t="inlineStr">
        <is>
          <t>2026-02</t>
        </is>
      </c>
      <c r="D17" s="85" t="inlineStr">
        <is>
          <t>CLAUDE.AI SUBSCRIPTION</t>
        </is>
      </c>
      <c r="E17" s="117" t="n">
        <v>-1138.5</v>
      </c>
      <c r="F17" s="85" t="inlineStr">
        <is>
          <t>IA/Tecnologia</t>
        </is>
      </c>
      <c r="G17" s="118" t="inlineStr">
        <is>
          <t>Sim</t>
        </is>
      </c>
      <c r="H17" s="34" t="n"/>
    </row>
    <row r="18">
      <c r="A18" s="84" t="n">
        <v>14</v>
      </c>
      <c r="B18" s="85" t="inlineStr">
        <is>
          <t>2026-01-21</t>
        </is>
      </c>
      <c r="C18" s="85" t="inlineStr">
        <is>
          <t>2026-02</t>
        </is>
      </c>
      <c r="D18" s="85" t="inlineStr">
        <is>
          <t>MANUS AI</t>
        </is>
      </c>
      <c r="E18" s="117" t="n">
        <v>-556.83</v>
      </c>
      <c r="F18" s="85" t="inlineStr">
        <is>
          <t>IA/Tecnologia</t>
        </is>
      </c>
      <c r="G18" s="118" t="inlineStr">
        <is>
          <t>Sim</t>
        </is>
      </c>
      <c r="H18" s="34" t="n"/>
    </row>
    <row r="19">
      <c r="A19" s="84" t="n">
        <v>15</v>
      </c>
      <c r="B19" s="85" t="inlineStr">
        <is>
          <t>2026-01-27</t>
        </is>
      </c>
      <c r="C19" s="85" t="inlineStr">
        <is>
          <t>2026-02</t>
        </is>
      </c>
      <c r="D19" s="85" t="inlineStr">
        <is>
          <t>RAYCAST.COM</t>
        </is>
      </c>
      <c r="E19" s="117" t="n">
        <v>-524.63</v>
      </c>
      <c r="F19" s="85" t="inlineStr">
        <is>
          <t>Outros</t>
        </is>
      </c>
      <c r="G19" s="118" t="inlineStr">
        <is>
          <t>Sim</t>
        </is>
      </c>
      <c r="H19" s="34" t="n"/>
    </row>
    <row r="20">
      <c r="A20" s="84" t="n">
        <v>16</v>
      </c>
      <c r="B20" s="85" t="inlineStr">
        <is>
          <t>2026-01-28</t>
        </is>
      </c>
      <c r="C20" s="85" t="inlineStr">
        <is>
          <t>2026-02</t>
        </is>
      </c>
      <c r="D20" s="85" t="inlineStr">
        <is>
          <t>IFD*34531468 EDWIN LEI</t>
        </is>
      </c>
      <c r="E20" s="117" t="n">
        <v>-55.8</v>
      </c>
      <c r="F20" s="85" t="inlineStr">
        <is>
          <t>Delivery/iFood</t>
        </is>
      </c>
      <c r="G20" s="118" t="inlineStr">
        <is>
          <t>Não</t>
        </is>
      </c>
      <c r="H20" s="34" t="n"/>
    </row>
    <row r="21">
      <c r="A21" s="84" t="n">
        <v>17</v>
      </c>
      <c r="B21" s="85" t="inlineStr">
        <is>
          <t>2026-01-30</t>
        </is>
      </c>
      <c r="C21" s="85" t="inlineStr">
        <is>
          <t>2026-02</t>
        </is>
      </c>
      <c r="D21" s="85" t="inlineStr">
        <is>
          <t>APPLE.COM/BILL</t>
        </is>
      </c>
      <c r="E21" s="117" t="n">
        <v>-99.90000000000001</v>
      </c>
      <c r="F21" s="85" t="inlineStr">
        <is>
          <t>Assinatura</t>
        </is>
      </c>
      <c r="G21" s="118" t="inlineStr">
        <is>
          <t>Sim</t>
        </is>
      </c>
      <c r="H21" s="34" t="n"/>
    </row>
    <row r="22">
      <c r="A22" s="84" t="n">
        <v>18</v>
      </c>
      <c r="B22" s="85" t="inlineStr">
        <is>
          <t>2026-02-03</t>
        </is>
      </c>
      <c r="C22" s="85" t="inlineStr">
        <is>
          <t>2026-02</t>
        </is>
      </c>
      <c r="D22" s="85" t="inlineStr">
        <is>
          <t>DESKTOP COMMANDER</t>
        </is>
      </c>
      <c r="E22" s="117" t="n">
        <v>-272.21</v>
      </c>
      <c r="F22" s="85" t="inlineStr">
        <is>
          <t>Outros</t>
        </is>
      </c>
      <c r="G22" s="118" t="inlineStr">
        <is>
          <t>Sim</t>
        </is>
      </c>
      <c r="H22" s="34" t="n"/>
    </row>
    <row r="23">
      <c r="A23" s="84" t="n">
        <v>19</v>
      </c>
      <c r="B23" s="85" t="inlineStr">
        <is>
          <t>2026-02-04</t>
        </is>
      </c>
      <c r="C23" s="85" t="inlineStr">
        <is>
          <t>2026-02</t>
        </is>
      </c>
      <c r="D23" s="85" t="inlineStr">
        <is>
          <t>MP*LOTERIASONLINEM4UQ</t>
        </is>
      </c>
      <c r="E23" s="117" t="n">
        <v>-168</v>
      </c>
      <c r="F23" s="85" t="inlineStr">
        <is>
          <t>Loteria</t>
        </is>
      </c>
      <c r="G23" s="118" t="inlineStr">
        <is>
          <t>Não</t>
        </is>
      </c>
      <c r="H23" s="34" t="n"/>
    </row>
    <row r="24">
      <c r="A24" s="84" t="n">
        <v>20</v>
      </c>
      <c r="B24" s="85" t="inlineStr">
        <is>
          <t>2026-02-05</t>
        </is>
      </c>
      <c r="C24" s="85" t="inlineStr">
        <is>
          <t>2026-02</t>
        </is>
      </c>
      <c r="D24" s="85" t="inlineStr">
        <is>
          <t>MP*LOTERIASONLINEYY48</t>
        </is>
      </c>
      <c r="E24" s="117" t="n">
        <v>-84</v>
      </c>
      <c r="F24" s="85" t="inlineStr">
        <is>
          <t>Loteria</t>
        </is>
      </c>
      <c r="G24" s="118" t="inlineStr">
        <is>
          <t>Não</t>
        </is>
      </c>
      <c r="H24" s="34" t="n"/>
    </row>
    <row r="25">
      <c r="A25" s="84" t="n">
        <v>21</v>
      </c>
      <c r="B25" s="85" t="inlineStr">
        <is>
          <t>2026-02-05</t>
        </is>
      </c>
      <c r="C25" s="85" t="inlineStr">
        <is>
          <t>2026-03</t>
        </is>
      </c>
      <c r="D25" s="85" t="inlineStr">
        <is>
          <t>OPENAI *CHATGPT SUBSCR</t>
        </is>
      </c>
      <c r="E25" s="117" t="n">
        <v>-108.89</v>
      </c>
      <c r="F25" s="85" t="inlineStr">
        <is>
          <t>IA/Tecnologia</t>
        </is>
      </c>
      <c r="G25" s="118" t="inlineStr">
        <is>
          <t>Sim</t>
        </is>
      </c>
      <c r="H25" s="34" t="n"/>
    </row>
    <row r="26">
      <c r="A26" s="84" t="n">
        <v>22</v>
      </c>
      <c r="B26" s="85" t="inlineStr">
        <is>
          <t>2026-02-11</t>
        </is>
      </c>
      <c r="C26" s="85" t="inlineStr">
        <is>
          <t>2026-03</t>
        </is>
      </c>
      <c r="D26" s="85" t="inlineStr">
        <is>
          <t>MERCADOLIVRE*3PRODUTOS</t>
        </is>
      </c>
      <c r="E26" s="117" t="n">
        <v>-6282.36</v>
      </c>
      <c r="F26" s="85" t="inlineStr">
        <is>
          <t>Compras/ML</t>
        </is>
      </c>
      <c r="G26" s="118" t="inlineStr">
        <is>
          <t>Não</t>
        </is>
      </c>
      <c r="H26" s="34" t="n"/>
    </row>
    <row r="27">
      <c r="A27" s="84" t="n">
        <v>23</v>
      </c>
      <c r="B27" s="85" t="inlineStr">
        <is>
          <t>2026-02-14</t>
        </is>
      </c>
      <c r="C27" s="85" t="inlineStr">
        <is>
          <t>2026-03</t>
        </is>
      </c>
      <c r="D27" s="85" t="inlineStr">
        <is>
          <t>ANTHROPIC</t>
        </is>
      </c>
      <c r="E27" s="117" t="n">
        <v>-51.75</v>
      </c>
      <c r="F27" s="85" t="inlineStr">
        <is>
          <t>IA/Tecnologia</t>
        </is>
      </c>
      <c r="G27" s="118" t="inlineStr">
        <is>
          <t>Sim</t>
        </is>
      </c>
      <c r="H27" s="34" t="n"/>
    </row>
    <row r="28">
      <c r="A28" s="84" t="n">
        <v>24</v>
      </c>
      <c r="B28" s="85" t="inlineStr">
        <is>
          <t>2026-02-14</t>
        </is>
      </c>
      <c r="C28" s="85" t="inlineStr">
        <is>
          <t>2026-03</t>
        </is>
      </c>
      <c r="D28" s="85" t="inlineStr">
        <is>
          <t>MP*LOTERIASONLINEO4M4</t>
        </is>
      </c>
      <c r="E28" s="117" t="n">
        <v>-206</v>
      </c>
      <c r="F28" s="85" t="inlineStr">
        <is>
          <t>Loteria</t>
        </is>
      </c>
      <c r="G28" s="118" t="inlineStr">
        <is>
          <t>Sim</t>
        </is>
      </c>
      <c r="H28" s="34" t="n"/>
    </row>
    <row r="29">
      <c r="A29" s="84" t="n">
        <v>25</v>
      </c>
      <c r="B29" s="85" t="inlineStr">
        <is>
          <t>2026-02-16</t>
        </is>
      </c>
      <c r="C29" s="85" t="inlineStr">
        <is>
          <t>2026-03</t>
        </is>
      </c>
      <c r="D29" s="85" t="inlineStr">
        <is>
          <t>DL *Starlink Brazil</t>
        </is>
      </c>
      <c r="E29" s="117" t="n">
        <v>-235.52</v>
      </c>
      <c r="F29" s="85" t="inlineStr">
        <is>
          <t>Internet</t>
        </is>
      </c>
      <c r="G29" s="118" t="inlineStr">
        <is>
          <t>Sim</t>
        </is>
      </c>
      <c r="H29" s="34" t="n"/>
    </row>
    <row r="30">
      <c r="A30" s="84" t="n">
        <v>26</v>
      </c>
      <c r="B30" s="85" t="inlineStr">
        <is>
          <t>2026-02-17</t>
        </is>
      </c>
      <c r="C30" s="85" t="inlineStr">
        <is>
          <t>2026-03</t>
        </is>
      </c>
      <c r="D30" s="85" t="inlineStr">
        <is>
          <t>OPENAI *CHATGPT SUBSCR</t>
        </is>
      </c>
      <c r="E30" s="117" t="n">
        <v>-108.27</v>
      </c>
      <c r="F30" s="85" t="inlineStr">
        <is>
          <t>IA/Tecnologia</t>
        </is>
      </c>
      <c r="G30" s="118" t="inlineStr">
        <is>
          <t>Sim</t>
        </is>
      </c>
      <c r="H30" s="34" t="n"/>
    </row>
    <row r="31">
      <c r="A31" s="84" t="n">
        <v>27</v>
      </c>
      <c r="B31" s="85" t="inlineStr">
        <is>
          <t>2026-02-21</t>
        </is>
      </c>
      <c r="C31" s="85" t="inlineStr">
        <is>
          <t>2026-03</t>
        </is>
      </c>
      <c r="D31" s="85" t="inlineStr">
        <is>
          <t>MANUS AI</t>
        </is>
      </c>
      <c r="E31" s="117" t="n">
        <v>-538.2</v>
      </c>
      <c r="F31" s="85" t="inlineStr">
        <is>
          <t>IA/Tecnologia</t>
        </is>
      </c>
      <c r="G31" s="118" t="inlineStr">
        <is>
          <t>Sim</t>
        </is>
      </c>
      <c r="H31" s="34" t="n"/>
    </row>
    <row r="32">
      <c r="A32" s="84" t="n">
        <v>28</v>
      </c>
      <c r="B32" s="85" t="inlineStr">
        <is>
          <t>2026-03-05</t>
        </is>
      </c>
      <c r="C32" s="85" t="inlineStr">
        <is>
          <t>2026-04</t>
        </is>
      </c>
      <c r="D32" s="85" t="inlineStr">
        <is>
          <t>OPENAI *CHATGPT SUBSCR</t>
        </is>
      </c>
      <c r="E32" s="117" t="n">
        <v>-108.47</v>
      </c>
      <c r="F32" s="85" t="inlineStr">
        <is>
          <t>IA/Tecnologia</t>
        </is>
      </c>
      <c r="G32" s="118" t="inlineStr">
        <is>
          <t>Sim</t>
        </is>
      </c>
      <c r="H32" s="34" t="n"/>
    </row>
    <row r="33">
      <c r="A33" s="84" t="n">
        <v>29</v>
      </c>
      <c r="B33" s="85" t="inlineStr">
        <is>
          <t>2026-03-08</t>
        </is>
      </c>
      <c r="C33" s="85" t="inlineStr">
        <is>
          <t>2026-04</t>
        </is>
      </c>
      <c r="D33" s="85" t="inlineStr">
        <is>
          <t>MERCADOLIVRE*7PRODUTOS</t>
        </is>
      </c>
      <c r="E33" s="117" t="n">
        <v>-453.64</v>
      </c>
      <c r="F33" s="85" t="inlineStr">
        <is>
          <t>Compras/ML</t>
        </is>
      </c>
      <c r="G33" s="118" t="inlineStr">
        <is>
          <t>Não</t>
        </is>
      </c>
      <c r="H33" s="34" t="n"/>
    </row>
    <row r="34">
      <c r="A34" s="84" t="n">
        <v>30</v>
      </c>
      <c r="B34" s="85" t="inlineStr">
        <is>
          <t>2026-03-08</t>
        </is>
      </c>
      <c r="C34" s="85" t="inlineStr">
        <is>
          <t>2026-04</t>
        </is>
      </c>
      <c r="D34" s="85" t="inlineStr">
        <is>
          <t>GITHUB, INC.</t>
        </is>
      </c>
      <c r="E34" s="117" t="n">
        <v>-54.76</v>
      </c>
      <c r="F34" s="85" t="inlineStr">
        <is>
          <t>IA/Tecnologia</t>
        </is>
      </c>
      <c r="G34" s="118" t="inlineStr">
        <is>
          <t>Sim</t>
        </is>
      </c>
      <c r="H34" s="34" t="n"/>
    </row>
    <row r="35">
      <c r="A35" s="84" t="n">
        <v>31</v>
      </c>
      <c r="B35" s="85" t="inlineStr">
        <is>
          <t>2026-03-10</t>
        </is>
      </c>
      <c r="C35" s="85" t="inlineStr">
        <is>
          <t>2026-04</t>
        </is>
      </c>
      <c r="D35" s="85" t="inlineStr">
        <is>
          <t>LAN AIRLINE</t>
        </is>
      </c>
      <c r="E35" s="117" t="n">
        <v>-9036.83</v>
      </c>
      <c r="F35" s="85" t="inlineStr">
        <is>
          <t>Viagem</t>
        </is>
      </c>
      <c r="G35" s="118" t="inlineStr">
        <is>
          <t>Sim</t>
        </is>
      </c>
      <c r="H35" s="34" t="n"/>
    </row>
    <row r="36">
      <c r="A36" s="84" t="n">
        <v>32</v>
      </c>
      <c r="B36" s="85" t="inlineStr">
        <is>
          <t>2026-03-10</t>
        </is>
      </c>
      <c r="C36" s="85" t="inlineStr">
        <is>
          <t>2026-04</t>
        </is>
      </c>
      <c r="D36" s="85" t="inlineStr">
        <is>
          <t>OPENROUTER, INC</t>
        </is>
      </c>
      <c r="E36" s="117" t="n">
        <v>-113.78</v>
      </c>
      <c r="F36" s="85" t="inlineStr">
        <is>
          <t>Outros</t>
        </is>
      </c>
      <c r="G36" s="118" t="inlineStr">
        <is>
          <t>Sim</t>
        </is>
      </c>
      <c r="H36" s="34" t="n"/>
    </row>
    <row r="37">
      <c r="A37" s="84" t="n">
        <v>33</v>
      </c>
      <c r="B37" s="85" t="inlineStr">
        <is>
          <t>2026-03-14</t>
        </is>
      </c>
      <c r="C37" s="85" t="inlineStr">
        <is>
          <t>2026-04</t>
        </is>
      </c>
      <c r="D37" s="85" t="inlineStr">
        <is>
          <t>STARLINK INTERNET</t>
        </is>
      </c>
      <c r="E37" s="117" t="n">
        <v>-235.52</v>
      </c>
      <c r="F37" s="85" t="inlineStr">
        <is>
          <t>Internet</t>
        </is>
      </c>
      <c r="G37" s="118" t="inlineStr">
        <is>
          <t>Sim</t>
        </is>
      </c>
      <c r="H37" s="34" t="n"/>
    </row>
    <row r="38">
      <c r="A38" s="84" t="n">
        <v>34</v>
      </c>
      <c r="B38" s="85" t="inlineStr">
        <is>
          <t>2026-03-17</t>
        </is>
      </c>
      <c r="C38" s="85" t="inlineStr">
        <is>
          <t>2026-04</t>
        </is>
      </c>
      <c r="D38" s="85" t="inlineStr">
        <is>
          <t>OPENAI *CHATGPT SUBSCR</t>
        </is>
      </c>
      <c r="E38" s="117" t="n">
        <v>-108.89</v>
      </c>
      <c r="F38" s="85" t="inlineStr">
        <is>
          <t>IA/Tecnologia</t>
        </is>
      </c>
      <c r="G38" s="118" t="inlineStr">
        <is>
          <t>Sim</t>
        </is>
      </c>
      <c r="H38" s="34" t="n"/>
    </row>
    <row r="39">
      <c r="A39" s="84" t="n">
        <v>35</v>
      </c>
      <c r="B39" s="85" t="inlineStr">
        <is>
          <t>2026-03-21</t>
        </is>
      </c>
      <c r="C39" s="85" t="inlineStr">
        <is>
          <t>2026-04</t>
        </is>
      </c>
      <c r="D39" s="85" t="inlineStr">
        <is>
          <t>MANUS AI</t>
        </is>
      </c>
      <c r="E39" s="117" t="n">
        <v>-546.48</v>
      </c>
      <c r="F39" s="85" t="inlineStr">
        <is>
          <t>IA/Tecnologia</t>
        </is>
      </c>
      <c r="G39" s="118" t="inlineStr">
        <is>
          <t>Sim</t>
        </is>
      </c>
      <c r="H39" s="34" t="n"/>
    </row>
    <row r="40">
      <c r="A40" s="84" t="n">
        <v>36</v>
      </c>
      <c r="B40" s="85" t="inlineStr">
        <is>
          <t>2026-03-30</t>
        </is>
      </c>
      <c r="C40" s="85" t="inlineStr">
        <is>
          <t>2026-04</t>
        </is>
      </c>
      <c r="D40" s="85" t="inlineStr">
        <is>
          <t>GROK XAI</t>
        </is>
      </c>
      <c r="E40" s="117" t="n">
        <v>-81.36</v>
      </c>
      <c r="F40" s="85" t="inlineStr">
        <is>
          <t>IA/Tecnologia</t>
        </is>
      </c>
      <c r="G40" s="118" t="inlineStr">
        <is>
          <t>Sim</t>
        </is>
      </c>
      <c r="H40" s="34" t="n"/>
    </row>
    <row r="41">
      <c r="A41" s="84" t="n">
        <v>37</v>
      </c>
      <c r="B41" s="85" t="inlineStr">
        <is>
          <t>2026-04-01</t>
        </is>
      </c>
      <c r="C41" s="85" t="inlineStr">
        <is>
          <t>2026-04</t>
        </is>
      </c>
      <c r="D41" s="85" t="inlineStr">
        <is>
          <t>CURSOR AI POWERED IDE</t>
        </is>
      </c>
      <c r="E41" s="117" t="n">
        <v>-111.81</v>
      </c>
      <c r="F41" s="85" t="inlineStr">
        <is>
          <t>IA/Tecnologia</t>
        </is>
      </c>
      <c r="G41" s="118" t="inlineStr">
        <is>
          <t>Sim</t>
        </is>
      </c>
      <c r="H41" s="34" t="n"/>
    </row>
    <row r="42">
      <c r="A42" s="84" t="n">
        <v>38</v>
      </c>
      <c r="B42" s="85" t="inlineStr">
        <is>
          <t>2026-04-05</t>
        </is>
      </c>
      <c r="C42" s="85" t="inlineStr">
        <is>
          <t>2026-05</t>
        </is>
      </c>
      <c r="D42" s="85" t="inlineStr">
        <is>
          <t>OPENAI *CHATGPT SUBSCR</t>
        </is>
      </c>
      <c r="E42" s="117" t="n">
        <v>-107.02</v>
      </c>
      <c r="F42" s="85" t="inlineStr">
        <is>
          <t>IA/Tecnologia</t>
        </is>
      </c>
      <c r="G42" s="118" t="inlineStr">
        <is>
          <t>Sim</t>
        </is>
      </c>
      <c r="H42" s="34" t="n"/>
    </row>
    <row r="43">
      <c r="A43" s="84" t="n">
        <v>39</v>
      </c>
      <c r="B43" s="85" t="inlineStr">
        <is>
          <t>2026-04-17</t>
        </is>
      </c>
      <c r="C43" s="85" t="inlineStr">
        <is>
          <t>2026-05</t>
        </is>
      </c>
      <c r="D43" s="85" t="inlineStr">
        <is>
          <t>OPENAI *CHATGPT SUBSCR</t>
        </is>
      </c>
      <c r="E43" s="117" t="n">
        <v>-103.5</v>
      </c>
      <c r="F43" s="85" t="inlineStr">
        <is>
          <t>IA/Tecnologia</t>
        </is>
      </c>
      <c r="G43" s="118" t="inlineStr">
        <is>
          <t>Sim</t>
        </is>
      </c>
      <c r="H43" s="34" t="n"/>
    </row>
    <row r="44">
      <c r="A44" s="84" t="n">
        <v>40</v>
      </c>
      <c r="B44" s="85" t="inlineStr">
        <is>
          <t>2026-04-20</t>
        </is>
      </c>
      <c r="C44" s="85" t="inlineStr">
        <is>
          <t>2026-05</t>
        </is>
      </c>
      <c r="D44" s="85" t="inlineStr">
        <is>
          <t>MICROSOFT*STORE</t>
        </is>
      </c>
      <c r="E44" s="117" t="n">
        <v>-509</v>
      </c>
      <c r="F44" s="85" t="inlineStr">
        <is>
          <t>Outros</t>
        </is>
      </c>
      <c r="G44" s="118" t="inlineStr">
        <is>
          <t>Não</t>
        </is>
      </c>
      <c r="H44" s="34" t="n"/>
    </row>
    <row r="45">
      <c r="A45" s="84" t="n">
        <v>41</v>
      </c>
      <c r="B45" s="85" t="inlineStr">
        <is>
          <t>2026-04-21</t>
        </is>
      </c>
      <c r="C45" s="85" t="inlineStr">
        <is>
          <t>2026-05</t>
        </is>
      </c>
      <c r="D45" s="85" t="inlineStr">
        <is>
          <t>MANUS AI</t>
        </is>
      </c>
      <c r="E45" s="117" t="n">
        <v>-515.4299999999999</v>
      </c>
      <c r="F45" s="85" t="inlineStr">
        <is>
          <t>IA/Tecnologia</t>
        </is>
      </c>
      <c r="G45" s="118" t="inlineStr">
        <is>
          <t>Sim</t>
        </is>
      </c>
      <c r="H45" s="34" t="n"/>
    </row>
    <row r="46">
      <c r="A46" s="84" t="n">
        <v>42</v>
      </c>
      <c r="B46" s="85" t="inlineStr">
        <is>
          <t>2026-04-23</t>
        </is>
      </c>
      <c r="C46" s="85" t="inlineStr">
        <is>
          <t>2026-05</t>
        </is>
      </c>
      <c r="D46" s="85" t="inlineStr">
        <is>
          <t>CLOUDFLARE</t>
        </is>
      </c>
      <c r="E46" s="117" t="n">
        <v>-107.61</v>
      </c>
      <c r="F46" s="85" t="inlineStr">
        <is>
          <t>IA/Tecnologia</t>
        </is>
      </c>
      <c r="G46" s="118" t="inlineStr">
        <is>
          <t>Sim</t>
        </is>
      </c>
      <c r="H46" s="34" t="n"/>
    </row>
    <row r="47">
      <c r="A47" s="84" t="n">
        <v>43</v>
      </c>
      <c r="B47" s="85" t="inlineStr">
        <is>
          <t>2026-04-27</t>
        </is>
      </c>
      <c r="C47" s="85" t="inlineStr">
        <is>
          <t>2026-05</t>
        </is>
      </c>
      <c r="D47" s="85" t="inlineStr">
        <is>
          <t>PERPLEXITY.AI</t>
        </is>
      </c>
      <c r="E47" s="117" t="n">
        <v>-103.71</v>
      </c>
      <c r="F47" s="85" t="inlineStr">
        <is>
          <t>IA/Tecnologia</t>
        </is>
      </c>
      <c r="G47" s="118" t="inlineStr">
        <is>
          <t>Sim</t>
        </is>
      </c>
      <c r="H47" s="34" t="n"/>
    </row>
    <row r="48">
      <c r="A48" s="84" t="n">
        <v>44</v>
      </c>
      <c r="B48" s="85" t="inlineStr">
        <is>
          <t>2026-05-01</t>
        </is>
      </c>
      <c r="C48" s="85" t="inlineStr">
        <is>
          <t>2026-05</t>
        </is>
      </c>
      <c r="D48" s="85" t="inlineStr">
        <is>
          <t>CURSOR AI POWERED IDE</t>
        </is>
      </c>
      <c r="E48" s="117" t="n">
        <v>-111.81</v>
      </c>
      <c r="F48" s="85" t="inlineStr">
        <is>
          <t>IA/Tecnologia</t>
        </is>
      </c>
      <c r="G48" s="118" t="inlineStr">
        <is>
          <t>Sim</t>
        </is>
      </c>
      <c r="H48" s="34" t="n"/>
    </row>
    <row r="49">
      <c r="A49" s="84" t="n">
        <v>45</v>
      </c>
      <c r="B49" s="85" t="inlineStr">
        <is>
          <t>2026-05-03</t>
        </is>
      </c>
      <c r="C49" s="85" t="inlineStr">
        <is>
          <t>2026-05</t>
        </is>
      </c>
      <c r="D49" s="85" t="inlineStr">
        <is>
          <t>STARLINK INTERNET</t>
        </is>
      </c>
      <c r="E49" s="117" t="n">
        <v>-235.52</v>
      </c>
      <c r="F49" s="85" t="inlineStr">
        <is>
          <t>Internet</t>
        </is>
      </c>
      <c r="G49" s="118" t="inlineStr">
        <is>
          <t>Não</t>
        </is>
      </c>
      <c r="H49" s="34" t="n"/>
    </row>
    <row r="50">
      <c r="A50" s="84" t="n">
        <v>46</v>
      </c>
      <c r="B50" s="85" t="inlineStr">
        <is>
          <t>2026-05-06</t>
        </is>
      </c>
      <c r="C50" s="85" t="inlineStr">
        <is>
          <t>2026-06</t>
        </is>
      </c>
      <c r="D50" s="85" t="inlineStr">
        <is>
          <t>OPENAI *CHATGPT SUBSCR</t>
        </is>
      </c>
      <c r="E50" s="117" t="n">
        <v>-101.85</v>
      </c>
      <c r="F50" s="85" t="inlineStr">
        <is>
          <t>IA/Tecnologia</t>
        </is>
      </c>
      <c r="G50" s="118" t="inlineStr">
        <is>
          <t>Sim</t>
        </is>
      </c>
      <c r="H50" s="34" t="n"/>
    </row>
    <row r="51">
      <c r="A51" s="84" t="n">
        <v>47</v>
      </c>
      <c r="B51" s="85" t="inlineStr">
        <is>
          <t>2026-05-08</t>
        </is>
      </c>
      <c r="C51" s="85" t="inlineStr">
        <is>
          <t>2026-06</t>
        </is>
      </c>
      <c r="D51" s="85" t="inlineStr">
        <is>
          <t>GITHUB, INC.</t>
        </is>
      </c>
      <c r="E51" s="117" t="n">
        <v>-50.93</v>
      </c>
      <c r="F51" s="85" t="inlineStr">
        <is>
          <t>IA/Tecnologia</t>
        </is>
      </c>
      <c r="G51" s="118" t="inlineStr">
        <is>
          <t>Sim</t>
        </is>
      </c>
      <c r="H51" s="34" t="n"/>
    </row>
    <row r="52">
      <c r="A52" s="84" t="n">
        <v>48</v>
      </c>
      <c r="B52" s="85" t="inlineStr">
        <is>
          <t>2026-05-17</t>
        </is>
      </c>
      <c r="C52" s="85" t="inlineStr">
        <is>
          <t>2026-06</t>
        </is>
      </c>
      <c r="D52" s="85" t="inlineStr">
        <is>
          <t>OPENAI *CHATGPT SUBSCR</t>
        </is>
      </c>
      <c r="E52" s="117" t="n">
        <v>-104.95</v>
      </c>
      <c r="F52" s="85" t="inlineStr">
        <is>
          <t>IA/Tecnologia</t>
        </is>
      </c>
      <c r="G52" s="118" t="inlineStr">
        <is>
          <t>Sim</t>
        </is>
      </c>
      <c r="H52" s="34" t="n"/>
    </row>
    <row r="53">
      <c r="A53" s="84" t="n">
        <v>49</v>
      </c>
      <c r="B53" s="85" t="inlineStr">
        <is>
          <t>2026-05-18</t>
        </is>
      </c>
      <c r="C53" s="85" t="inlineStr">
        <is>
          <t>2026-06</t>
        </is>
      </c>
      <c r="D53" s="85" t="inlineStr">
        <is>
          <t>CLOUDFLARE</t>
        </is>
      </c>
      <c r="E53" s="117" t="n">
        <v>-83.44</v>
      </c>
      <c r="F53" s="85" t="inlineStr">
        <is>
          <t>IA/Tecnologia</t>
        </is>
      </c>
      <c r="G53" s="118" t="inlineStr">
        <is>
          <t>Sim</t>
        </is>
      </c>
      <c r="H53" s="34" t="n"/>
    </row>
    <row r="54">
      <c r="A54" s="84" t="n">
        <v>50</v>
      </c>
      <c r="B54" s="85" t="inlineStr">
        <is>
          <t>2026-05-19</t>
        </is>
      </c>
      <c r="C54" s="85" t="inlineStr">
        <is>
          <t>2026-06</t>
        </is>
      </c>
      <c r="D54" s="85" t="inlineStr">
        <is>
          <t>DL*GOOGLE YouTub</t>
        </is>
      </c>
      <c r="E54" s="117" t="n">
        <v>-269</v>
      </c>
      <c r="F54" s="85" t="inlineStr">
        <is>
          <t>Assinatura</t>
        </is>
      </c>
      <c r="G54" s="118" t="inlineStr">
        <is>
          <t>Sim</t>
        </is>
      </c>
      <c r="H54" s="34" t="n"/>
    </row>
    <row r="55">
      <c r="A55" s="84" t="n">
        <v>51</v>
      </c>
      <c r="B55" s="85" t="inlineStr">
        <is>
          <t>2026-05-28</t>
        </is>
      </c>
      <c r="C55" s="85" t="inlineStr">
        <is>
          <t>2026-06</t>
        </is>
      </c>
      <c r="D55" s="85" t="inlineStr">
        <is>
          <t>ANTHROPIC</t>
        </is>
      </c>
      <c r="E55" s="117" t="n">
        <v>-103.5</v>
      </c>
      <c r="F55" s="85" t="inlineStr">
        <is>
          <t>IA/Tecnologia</t>
        </is>
      </c>
      <c r="G55" s="118" t="inlineStr">
        <is>
          <t>Sim</t>
        </is>
      </c>
      <c r="H55" s="34" t="n"/>
    </row>
    <row r="56">
      <c r="A56" s="84" t="n">
        <v>52</v>
      </c>
      <c r="B56" s="85" t="inlineStr">
        <is>
          <t>2026-05-30</t>
        </is>
      </c>
      <c r="C56" s="85" t="inlineStr">
        <is>
          <t>2026-06</t>
        </is>
      </c>
      <c r="D56" s="85" t="inlineStr">
        <is>
          <t>CLAUDE.AI SUBSCRIPTION</t>
        </is>
      </c>
      <c r="E56" s="117" t="n">
        <v>-113.85</v>
      </c>
      <c r="F56" s="85" t="inlineStr">
        <is>
          <t>IA/Tecnologia</t>
        </is>
      </c>
      <c r="G56" s="118" t="inlineStr">
        <is>
          <t>Sim</t>
        </is>
      </c>
      <c r="H56" s="34" t="n"/>
    </row>
    <row r="57">
      <c r="A57" s="84" t="n">
        <v>53</v>
      </c>
      <c r="B57" s="85" t="inlineStr">
        <is>
          <t>2026-06-01</t>
        </is>
      </c>
      <c r="C57" s="85" t="inlineStr">
        <is>
          <t>2026-06</t>
        </is>
      </c>
      <c r="D57" s="85" t="inlineStr">
        <is>
          <t>CURSOR AI POWERED IDE</t>
        </is>
      </c>
      <c r="E57" s="117" t="n">
        <v>-111.81</v>
      </c>
      <c r="F57" s="85" t="inlineStr">
        <is>
          <t>IA/Tecnologia</t>
        </is>
      </c>
      <c r="G57" s="118" t="inlineStr">
        <is>
          <t>Sim</t>
        </is>
      </c>
      <c r="H57" s="34" t="n"/>
    </row>
    <row r="58">
      <c r="A58" s="84" t="n">
        <v>54</v>
      </c>
      <c r="B58" s="85" t="inlineStr">
        <is>
          <t>2026-06-01</t>
        </is>
      </c>
      <c r="C58" s="85" t="inlineStr">
        <is>
          <t>2026-06</t>
        </is>
      </c>
      <c r="D58" s="85" t="inlineStr">
        <is>
          <t>PERPLEXITY.AI</t>
        </is>
      </c>
      <c r="E58" s="117" t="n">
        <v>-78.56</v>
      </c>
      <c r="F58" s="85" t="inlineStr">
        <is>
          <t>IA/Tecnologia</t>
        </is>
      </c>
      <c r="G58" s="118" t="inlineStr">
        <is>
          <t>Sim</t>
        </is>
      </c>
      <c r="H58" s="34" t="n"/>
    </row>
    <row r="59">
      <c r="A59" s="84" t="n">
        <v>55</v>
      </c>
      <c r="B59" s="85" t="inlineStr">
        <is>
          <t>2026-06-03</t>
        </is>
      </c>
      <c r="C59" s="85" t="inlineStr">
        <is>
          <t>2026-06</t>
        </is>
      </c>
      <c r="D59" s="85" t="inlineStr">
        <is>
          <t>STARLINK INTERNET</t>
        </is>
      </c>
      <c r="E59" s="117" t="n">
        <v>-235.52</v>
      </c>
      <c r="F59" s="85" t="inlineStr">
        <is>
          <t>Internet</t>
        </is>
      </c>
      <c r="G59" s="118" t="inlineStr">
        <is>
          <t>Não</t>
        </is>
      </c>
      <c r="H59" s="34" t="n"/>
    </row>
    <row r="60">
      <c r="A60" s="84" t="n">
        <v>56</v>
      </c>
      <c r="B60" s="85" t="inlineStr">
        <is>
          <t>2026-06-03</t>
        </is>
      </c>
      <c r="C60" s="85" t="inlineStr">
        <is>
          <t>2026-06</t>
        </is>
      </c>
      <c r="D60" s="85" t="inlineStr">
        <is>
          <t>CONTA VIVO</t>
        </is>
      </c>
      <c r="E60" s="117" t="n">
        <v>-74.43000000000001</v>
      </c>
      <c r="F60" s="85" t="inlineStr">
        <is>
          <t>Telecomunicações</t>
        </is>
      </c>
      <c r="G60" s="118" t="inlineStr">
        <is>
          <t>Não</t>
        </is>
      </c>
      <c r="H60" s="34" t="n"/>
    </row>
    <row r="61">
      <c r="A61" s="84" t="n">
        <v>57</v>
      </c>
      <c r="B61" s="85" t="inlineStr">
        <is>
          <t>2026-06-04</t>
        </is>
      </c>
      <c r="C61" s="85" t="inlineStr">
        <is>
          <t>2026-06</t>
        </is>
      </c>
      <c r="D61" s="85" t="inlineStr">
        <is>
          <t>PERPLEXITY.AI</t>
        </is>
      </c>
      <c r="E61" s="117" t="n">
        <v>-78.25</v>
      </c>
      <c r="F61" s="85" t="inlineStr">
        <is>
          <t>IA/Tecnologia</t>
        </is>
      </c>
      <c r="G61" s="118" t="inlineStr">
        <is>
          <t>Sim</t>
        </is>
      </c>
      <c r="H61" s="34" t="n"/>
    </row>
    <row r="62">
      <c r="A62" s="84" t="n">
        <v>58</v>
      </c>
      <c r="B62" s="85" t="inlineStr">
        <is>
          <t>2026-06-04</t>
        </is>
      </c>
      <c r="C62" s="85" t="inlineStr">
        <is>
          <t>2026-06</t>
        </is>
      </c>
      <c r="D62" s="85" t="inlineStr">
        <is>
          <t>PERPLEXITY.AI</t>
        </is>
      </c>
      <c r="E62" s="117" t="n">
        <v>-78.25</v>
      </c>
      <c r="F62" s="85" t="inlineStr">
        <is>
          <t>IA/Tecnologia</t>
        </is>
      </c>
      <c r="G62" s="118" t="inlineStr">
        <is>
          <t>Sim</t>
        </is>
      </c>
      <c r="H62" s="34" t="n"/>
    </row>
    <row r="63">
      <c r="A63" s="84" t="n">
        <v>59</v>
      </c>
      <c r="B63" s="85" t="inlineStr">
        <is>
          <t>2026-06-05</t>
        </is>
      </c>
      <c r="C63" s="85" t="inlineStr">
        <is>
          <t>2026-06</t>
        </is>
      </c>
      <c r="D63" s="85" t="inlineStr">
        <is>
          <t>PERPLEXITY.AI</t>
        </is>
      </c>
      <c r="E63" s="117" t="n">
        <v>-78.25</v>
      </c>
      <c r="F63" s="85" t="inlineStr">
        <is>
          <t>IA/Tecnologia</t>
        </is>
      </c>
      <c r="G63" s="118" t="inlineStr">
        <is>
          <t>Sim</t>
        </is>
      </c>
      <c r="H63" s="34" t="n"/>
    </row>
    <row r="64">
      <c r="A64" s="51" t="n"/>
      <c r="B64" s="52" t="n"/>
      <c r="C64" s="52" t="n"/>
      <c r="D64" s="52" t="n"/>
      <c r="E64" s="52" t="n"/>
      <c r="F64" s="52" t="n"/>
      <c r="G64" s="53" t="n"/>
      <c r="H64" s="34" t="n"/>
    </row>
    <row r="65">
      <c r="A65" s="112" t="inlineStr">
        <is>
          <t>◆ SUMMARY</t>
        </is>
      </c>
      <c r="B65" s="52" t="n"/>
      <c r="C65" s="52" t="n"/>
      <c r="D65" s="52" t="n"/>
      <c r="E65" s="52" t="n"/>
      <c r="F65" s="52" t="n"/>
      <c r="G65" s="53" t="n"/>
      <c r="H65" s="34" t="n"/>
    </row>
    <row r="66">
      <c r="A66" s="51" t="n"/>
      <c r="B66" s="52" t="n"/>
      <c r="C66" s="52" t="n"/>
      <c r="D66" s="119" t="inlineStr">
        <is>
          <t>TOTAL</t>
        </is>
      </c>
      <c r="E66" s="120">
        <f>SUM(E5:E63)</f>
        <v/>
      </c>
      <c r="F66" s="52" t="n"/>
      <c r="G66" s="53" t="n"/>
      <c r="H66" s="34" t="n"/>
    </row>
    <row r="67">
      <c r="A67" s="51" t="n"/>
      <c r="B67" s="52" t="n"/>
      <c r="C67" s="52" t="n"/>
      <c r="D67" s="85" t="inlineStr">
        <is>
          <t>TX COUNT</t>
        </is>
      </c>
      <c r="E67" s="85">
        <f>COUNTA(B5:B63)</f>
        <v/>
      </c>
      <c r="F67" s="52" t="n"/>
      <c r="G67" s="53" t="n"/>
      <c r="H67" s="34" t="n"/>
    </row>
    <row r="68">
      <c r="A68" s="51" t="n"/>
      <c r="B68" s="52" t="n"/>
      <c r="C68" s="52" t="n"/>
      <c r="D68" s="52" t="n"/>
      <c r="E68" s="52" t="n"/>
      <c r="F68" s="52" t="n"/>
      <c r="G68" s="53" t="n"/>
      <c r="H68" s="34" t="n"/>
    </row>
    <row r="69">
      <c r="A69" s="121" t="inlineStr">
        <is>
          <t>⚠ This contains a representative 59-tx subset. Paste full 146-tx MP Faturas data to replace.</t>
        </is>
      </c>
      <c r="B69" s="52" t="n"/>
      <c r="C69" s="52" t="n"/>
      <c r="D69" s="52" t="n"/>
      <c r="E69" s="52" t="n"/>
      <c r="F69" s="52" t="n"/>
      <c r="G69" s="53" t="n"/>
      <c r="H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F6600"/>
    <outlinePr summaryBelow="1" summaryRight="1"/>
    <pageSetUpPr/>
  </sheetPr>
  <dimension ref="A1:L29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8" customWidth="1" min="1" max="1"/>
    <col width="22" customWidth="1" min="2" max="2"/>
    <col width="32" customWidth="1" min="3" max="3"/>
    <col width="6" customWidth="1" min="4" max="4"/>
    <col width="14" customWidth="1" min="5" max="5"/>
    <col width="22" customWidth="1" min="6" max="6"/>
    <col width="10" customWidth="1" min="7" max="8"/>
    <col width="14" customWidth="1" min="9" max="9"/>
    <col width="12" customWidth="1" min="10" max="10"/>
  </cols>
  <sheetData>
    <row r="1" ht="16" customHeight="1">
      <c r="A1" s="65" t="inlineStr">
        <is>
          <t>◆ SUBSCRIPTIONS — 15 Services Tracked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34" t="n"/>
      <c r="L1" s="34" t="n"/>
    </row>
    <row r="2">
      <c r="A2" s="67" t="inlineStr">
        <is>
          <t>Update decisions and status. Renewal dates from Apple Subscriptions export.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34" t="n"/>
      <c r="L2" s="34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4" t="n"/>
      <c r="L3" s="34" t="n"/>
    </row>
    <row r="4">
      <c r="A4" s="62" t="inlineStr">
        <is>
          <t>Service</t>
        </is>
      </c>
      <c r="B4" s="62" t="inlineStr">
        <is>
          <t>Plan</t>
        </is>
      </c>
      <c r="C4" s="62" t="inlineStr">
        <is>
          <t>Email</t>
        </is>
      </c>
      <c r="D4" s="62" t="inlineStr">
        <is>
          <t>CCY</t>
        </is>
      </c>
      <c r="E4" s="62" t="inlineStr">
        <is>
          <t>Monthly BRL</t>
        </is>
      </c>
      <c r="F4" s="62" t="inlineStr">
        <is>
          <t>Category</t>
        </is>
      </c>
      <c r="G4" s="62" t="inlineStr">
        <is>
          <t>Dup Risk</t>
        </is>
      </c>
      <c r="H4" s="62" t="inlineStr">
        <is>
          <t>Decision</t>
        </is>
      </c>
      <c r="I4" s="62" t="inlineStr">
        <is>
          <t>Renewal Date</t>
        </is>
      </c>
      <c r="J4" s="62" t="inlineStr">
        <is>
          <t>Status</t>
        </is>
      </c>
      <c r="K4" s="34" t="n"/>
      <c r="L4" s="34" t="n"/>
    </row>
    <row r="5">
      <c r="A5" s="63" t="inlineStr">
        <is>
          <t>Claude</t>
        </is>
      </c>
      <c r="B5" s="63" t="inlineStr">
        <is>
          <t>Pro</t>
        </is>
      </c>
      <c r="C5" s="63" t="inlineStr">
        <is>
          <t>automacao.giovannini@gmail.com</t>
        </is>
      </c>
      <c r="D5" s="63" t="inlineStr">
        <is>
          <t>BRL</t>
        </is>
      </c>
      <c r="E5" s="64" t="n">
        <v>92</v>
      </c>
      <c r="F5" s="63" t="inlineStr">
        <is>
          <t>AI - General/Coding</t>
        </is>
      </c>
      <c r="G5" s="63" t="inlineStr">
        <is>
          <t>HIGH</t>
        </is>
      </c>
      <c r="H5" s="63" t="inlineStr">
        <is>
          <t>CANCEL</t>
        </is>
      </c>
      <c r="I5" s="63" t="inlineStr">
        <is>
          <t>2026-07-15</t>
        </is>
      </c>
      <c r="J5" s="63" t="inlineStr">
        <is>
          <t>Pending</t>
        </is>
      </c>
      <c r="K5" s="34" t="n"/>
      <c r="L5" s="34" t="n"/>
    </row>
    <row r="6">
      <c r="A6" s="63" t="inlineStr">
        <is>
          <t>Claude</t>
        </is>
      </c>
      <c r="B6" s="63" t="inlineStr">
        <is>
          <t>Pro</t>
        </is>
      </c>
      <c r="C6" s="63" t="inlineStr">
        <is>
          <t>cadastros.online1979@gmail.com</t>
        </is>
      </c>
      <c r="D6" s="63" t="inlineStr">
        <is>
          <t>BRL</t>
        </is>
      </c>
      <c r="E6" s="64" t="n">
        <v>92</v>
      </c>
      <c r="F6" s="63" t="inlineStr">
        <is>
          <t>AI - General/Coding</t>
        </is>
      </c>
      <c r="G6" s="63" t="inlineStr">
        <is>
          <t>HIGH</t>
        </is>
      </c>
      <c r="H6" s="63" t="inlineStr">
        <is>
          <t>CANCEL</t>
        </is>
      </c>
      <c r="I6" s="63" t="inlineStr">
        <is>
          <t>2026-07-15</t>
        </is>
      </c>
      <c r="J6" s="63" t="inlineStr">
        <is>
          <t>Pending</t>
        </is>
      </c>
      <c r="K6" s="34" t="n"/>
      <c r="L6" s="34" t="n"/>
    </row>
    <row r="7">
      <c r="A7" s="63" t="inlineStr">
        <is>
          <t>ChatGPT</t>
        </is>
      </c>
      <c r="B7" s="63" t="inlineStr">
        <is>
          <t>Plus</t>
        </is>
      </c>
      <c r="C7" s="63" t="inlineStr">
        <is>
          <t>giovannini.eduardo@gmail.com</t>
        </is>
      </c>
      <c r="D7" s="63" t="inlineStr">
        <is>
          <t>USD</t>
        </is>
      </c>
      <c r="E7" s="64" t="n">
        <v>106</v>
      </c>
      <c r="F7" s="63" t="inlineStr">
        <is>
          <t>AI - General Assistant</t>
        </is>
      </c>
      <c r="G7" s="63" t="inlineStr">
        <is>
          <t>MEDIUM</t>
        </is>
      </c>
      <c r="H7" s="63" t="inlineStr">
        <is>
          <t>KEEP</t>
        </is>
      </c>
      <c r="I7" s="63" t="n"/>
      <c r="J7" s="63" t="inlineStr">
        <is>
          <t>Active</t>
        </is>
      </c>
      <c r="K7" s="34" t="n"/>
      <c r="L7" s="34" t="n"/>
    </row>
    <row r="8">
      <c r="A8" s="63" t="inlineStr">
        <is>
          <t>Google</t>
        </is>
      </c>
      <c r="B8" s="63" t="inlineStr">
        <is>
          <t>Pro</t>
        </is>
      </c>
      <c r="C8" s="63" t="inlineStr">
        <is>
          <t>cadastros.online1979@gmail.com</t>
        </is>
      </c>
      <c r="D8" s="63" t="inlineStr">
        <is>
          <t>BRL</t>
        </is>
      </c>
      <c r="E8" s="64" t="n">
        <v>96.98999999999999</v>
      </c>
      <c r="F8" s="63" t="inlineStr">
        <is>
          <t>AI - General/Workspace</t>
        </is>
      </c>
      <c r="G8" s="63" t="inlineStr">
        <is>
          <t>HIGH</t>
        </is>
      </c>
      <c r="H8" s="63" t="inlineStr">
        <is>
          <t>REVIEW</t>
        </is>
      </c>
      <c r="I8" s="63" t="n"/>
      <c r="J8" s="63" t="inlineStr">
        <is>
          <t>Active</t>
        </is>
      </c>
      <c r="K8" s="34" t="n"/>
      <c r="L8" s="34" t="n"/>
    </row>
    <row r="9">
      <c r="A9" s="63" t="inlineStr">
        <is>
          <t>Manus</t>
        </is>
      </c>
      <c r="B9" s="63" t="inlineStr">
        <is>
          <t>Credits</t>
        </is>
      </c>
      <c r="C9" s="63" t="inlineStr">
        <is>
          <t>cadastro.giovannini@gmail.com</t>
        </is>
      </c>
      <c r="D9" s="63" t="inlineStr">
        <is>
          <t>UNK</t>
        </is>
      </c>
      <c r="E9" s="64" t="n">
        <v>0</v>
      </c>
      <c r="F9" s="63" t="inlineStr">
        <is>
          <t>AI - Agent/Credits</t>
        </is>
      </c>
      <c r="G9" s="63" t="inlineStr">
        <is>
          <t>UNKNOWN</t>
        </is>
      </c>
      <c r="H9" s="63" t="inlineStr">
        <is>
          <t>REVIEW</t>
        </is>
      </c>
      <c r="I9" s="63" t="n"/>
      <c r="J9" s="63" t="inlineStr">
        <is>
          <t>Unknown</t>
        </is>
      </c>
      <c r="K9" s="34" t="n"/>
      <c r="L9" s="34" t="n"/>
    </row>
    <row r="10">
      <c r="A10" s="63" t="inlineStr">
        <is>
          <t>Manus</t>
        </is>
      </c>
      <c r="B10" s="63" t="inlineStr">
        <is>
          <t>Credits</t>
        </is>
      </c>
      <c r="C10" s="63" t="inlineStr">
        <is>
          <t>automacao.giovannini@gmail.com</t>
        </is>
      </c>
      <c r="D10" s="63" t="inlineStr">
        <is>
          <t>UNK</t>
        </is>
      </c>
      <c r="E10" s="64" t="n">
        <v>418.43</v>
      </c>
      <c r="F10" s="63" t="inlineStr">
        <is>
          <t>AI - Agent/Credits</t>
        </is>
      </c>
      <c r="G10" s="63" t="inlineStr">
        <is>
          <t>UNKNOWN</t>
        </is>
      </c>
      <c r="H10" s="63" t="inlineStr">
        <is>
          <t>REVIEW</t>
        </is>
      </c>
      <c r="I10" s="63" t="n"/>
      <c r="J10" s="63" t="inlineStr">
        <is>
          <t>Unknown</t>
        </is>
      </c>
      <c r="K10" s="34" t="n"/>
      <c r="L10" s="34" t="n"/>
    </row>
    <row r="11">
      <c r="A11" s="63" t="inlineStr">
        <is>
          <t>Cursor</t>
        </is>
      </c>
      <c r="B11" s="63" t="inlineStr">
        <is>
          <t>Pro</t>
        </is>
      </c>
      <c r="C11" s="63" t="inlineStr">
        <is>
          <t>giovannini.eduardo@gmail.com</t>
        </is>
      </c>
      <c r="D11" s="63" t="inlineStr">
        <is>
          <t>USD</t>
        </is>
      </c>
      <c r="E11" s="64" t="n">
        <v>106</v>
      </c>
      <c r="F11" s="63" t="inlineStr">
        <is>
          <t>AI - Coding Assistant</t>
        </is>
      </c>
      <c r="G11" s="63" t="inlineStr">
        <is>
          <t>MEDIUM</t>
        </is>
      </c>
      <c r="H11" s="63" t="inlineStr">
        <is>
          <t>KEEP</t>
        </is>
      </c>
      <c r="I11" s="63" t="n"/>
      <c r="J11" s="63" t="inlineStr">
        <is>
          <t>Active</t>
        </is>
      </c>
      <c r="K11" s="34" t="n"/>
      <c r="L11" s="34" t="n"/>
    </row>
    <row r="12">
      <c r="A12" s="63" t="inlineStr">
        <is>
          <t>Desktop Commander</t>
        </is>
      </c>
      <c r="B12" s="63" t="inlineStr">
        <is>
          <t>Unlimited</t>
        </is>
      </c>
      <c r="C12" s="63" t="inlineStr">
        <is>
          <t>automacao.giovannini@gmail.com</t>
        </is>
      </c>
      <c r="D12" s="63" t="inlineStr">
        <is>
          <t>UNK</t>
        </is>
      </c>
      <c r="E12" s="64" t="n">
        <v>45.37</v>
      </c>
      <c r="F12" s="63" t="inlineStr">
        <is>
          <t>AI - Desktop Automation</t>
        </is>
      </c>
      <c r="G12" s="63" t="inlineStr">
        <is>
          <t>UNKNOWN</t>
        </is>
      </c>
      <c r="H12" s="63" t="inlineStr">
        <is>
          <t>REVIEW</t>
        </is>
      </c>
      <c r="I12" s="63" t="n"/>
      <c r="J12" s="63" t="inlineStr">
        <is>
          <t>Unknown</t>
        </is>
      </c>
      <c r="K12" s="34" t="n"/>
      <c r="L12" s="34" t="n"/>
    </row>
    <row r="13">
      <c r="A13" s="63" t="inlineStr">
        <is>
          <t>Filmora9</t>
        </is>
      </c>
      <c r="B13" s="63" t="inlineStr">
        <is>
          <t>Annual</t>
        </is>
      </c>
      <c r="C13" s="63" t="inlineStr">
        <is>
          <t>Unknown</t>
        </is>
      </c>
      <c r="D13" s="63" t="inlineStr">
        <is>
          <t>BRL</t>
        </is>
      </c>
      <c r="E13" s="64" t="n">
        <v>15.41</v>
      </c>
      <c r="F13" s="63" t="inlineStr">
        <is>
          <t>Creative/Productivity</t>
        </is>
      </c>
      <c r="G13" s="63" t="inlineStr">
        <is>
          <t>LOW</t>
        </is>
      </c>
      <c r="H13" s="63" t="inlineStr">
        <is>
          <t>REVIEW</t>
        </is>
      </c>
      <c r="I13" s="63" t="inlineStr">
        <is>
          <t>2026-07-08</t>
        </is>
      </c>
      <c r="J13" s="63" t="inlineStr">
        <is>
          <t>Active</t>
        </is>
      </c>
      <c r="K13" s="34" t="n"/>
      <c r="L13" s="34" t="n"/>
    </row>
    <row r="14">
      <c r="A14" s="63" t="inlineStr">
        <is>
          <t>Grok</t>
        </is>
      </c>
      <c r="B14" s="63" t="inlineStr">
        <is>
          <t>SuperGrok</t>
        </is>
      </c>
      <c r="C14" s="63" t="inlineStr">
        <is>
          <t>Unknown</t>
        </is>
      </c>
      <c r="D14" s="63" t="inlineStr">
        <is>
          <t>BRL</t>
        </is>
      </c>
      <c r="E14" s="64" t="n">
        <v>149.9</v>
      </c>
      <c r="F14" s="63" t="inlineStr">
        <is>
          <t>AI - General/Media</t>
        </is>
      </c>
      <c r="G14" s="63" t="inlineStr">
        <is>
          <t>HIGH</t>
        </is>
      </c>
      <c r="H14" s="63" t="inlineStr">
        <is>
          <t>CANCEL</t>
        </is>
      </c>
      <c r="I14" s="63" t="inlineStr">
        <is>
          <t>2026-09-14</t>
        </is>
      </c>
      <c r="J14" s="63" t="inlineStr">
        <is>
          <t>Pending</t>
        </is>
      </c>
      <c r="K14" s="34" t="n"/>
      <c r="L14" s="34" t="n"/>
    </row>
    <row r="15">
      <c r="A15" s="63" t="inlineStr">
        <is>
          <t>iCloud+</t>
        </is>
      </c>
      <c r="B15" s="63" t="inlineStr">
        <is>
          <t>200 GB</t>
        </is>
      </c>
      <c r="C15" s="63" t="inlineStr">
        <is>
          <t>Unknown</t>
        </is>
      </c>
      <c r="D15" s="63" t="inlineStr">
        <is>
          <t>BRL</t>
        </is>
      </c>
      <c r="E15" s="64" t="n">
        <v>19.9</v>
      </c>
      <c r="F15" s="63" t="inlineStr">
        <is>
          <t>Cloud/Storage</t>
        </is>
      </c>
      <c r="G15" s="63" t="inlineStr">
        <is>
          <t>LOW</t>
        </is>
      </c>
      <c r="H15" s="63" t="inlineStr">
        <is>
          <t>KEEP</t>
        </is>
      </c>
      <c r="I15" s="63" t="inlineStr">
        <is>
          <t>2026-07-10</t>
        </is>
      </c>
      <c r="J15" s="63" t="inlineStr">
        <is>
          <t>Active</t>
        </is>
      </c>
      <c r="K15" s="34" t="n"/>
      <c r="L15" s="34" t="n"/>
    </row>
    <row r="16">
      <c r="A16" s="63" t="inlineStr">
        <is>
          <t>Microsoft 365</t>
        </is>
      </c>
      <c r="B16" s="63" t="inlineStr">
        <is>
          <t>Personal</t>
        </is>
      </c>
      <c r="C16" s="63" t="inlineStr">
        <is>
          <t>Unknown</t>
        </is>
      </c>
      <c r="D16" s="63" t="inlineStr">
        <is>
          <t>BRL</t>
        </is>
      </c>
      <c r="E16" s="64" t="n">
        <v>42.42</v>
      </c>
      <c r="F16" s="63" t="inlineStr">
        <is>
          <t>Productivity/Cloud</t>
        </is>
      </c>
      <c r="G16" s="63" t="inlineStr">
        <is>
          <t>MEDIUM</t>
        </is>
      </c>
      <c r="H16" s="63" t="inlineStr">
        <is>
          <t>REVIEW</t>
        </is>
      </c>
      <c r="I16" s="63" t="inlineStr">
        <is>
          <t>2027-06-20</t>
        </is>
      </c>
      <c r="J16" s="63" t="inlineStr">
        <is>
          <t>Active</t>
        </is>
      </c>
      <c r="K16" s="34" t="n"/>
      <c r="L16" s="34" t="n"/>
    </row>
    <row r="17">
      <c r="A17" s="63" t="inlineStr">
        <is>
          <t>NordVPN</t>
        </is>
      </c>
      <c r="B17" s="63" t="inlineStr">
        <is>
          <t>Annual</t>
        </is>
      </c>
      <c r="C17" s="63" t="inlineStr">
        <is>
          <t>Unknown</t>
        </is>
      </c>
      <c r="D17" s="63" t="inlineStr">
        <is>
          <t>BRL</t>
        </is>
      </c>
      <c r="E17" s="64" t="n">
        <v>28.33</v>
      </c>
      <c r="F17" s="63" t="inlineStr">
        <is>
          <t>Security/VPN</t>
        </is>
      </c>
      <c r="G17" s="63" t="inlineStr">
        <is>
          <t>LOW</t>
        </is>
      </c>
      <c r="H17" s="63" t="inlineStr">
        <is>
          <t>REVIEW</t>
        </is>
      </c>
      <c r="I17" s="63" t="inlineStr">
        <is>
          <t>2026-10-06</t>
        </is>
      </c>
      <c r="J17" s="63" t="inlineStr">
        <is>
          <t>Active</t>
        </is>
      </c>
      <c r="K17" s="34" t="n"/>
      <c r="L17" s="34" t="n"/>
    </row>
    <row r="18">
      <c r="A18" s="63" t="inlineStr">
        <is>
          <t>Perplexity</t>
        </is>
      </c>
      <c r="B18" s="63" t="inlineStr">
        <is>
          <t>Pro Mac</t>
        </is>
      </c>
      <c r="C18" s="63" t="inlineStr">
        <is>
          <t>Unknown</t>
        </is>
      </c>
      <c r="D18" s="63" t="inlineStr">
        <is>
          <t>BRL</t>
        </is>
      </c>
      <c r="E18" s="64" t="n">
        <v>99.90000000000001</v>
      </c>
      <c r="F18" s="63" t="inlineStr">
        <is>
          <t>AI - Research</t>
        </is>
      </c>
      <c r="G18" s="63" t="inlineStr">
        <is>
          <t>HIGH</t>
        </is>
      </c>
      <c r="H18" s="63" t="inlineStr">
        <is>
          <t>KEEP</t>
        </is>
      </c>
      <c r="I18" s="63" t="inlineStr">
        <is>
          <t>2026-06-30</t>
        </is>
      </c>
      <c r="J18" s="63" t="inlineStr">
        <is>
          <t>Active</t>
        </is>
      </c>
      <c r="K18" s="34" t="n"/>
      <c r="L18" s="34" t="n"/>
    </row>
    <row r="19">
      <c r="A19" s="63" t="inlineStr">
        <is>
          <t>TuneIn Radio</t>
        </is>
      </c>
      <c r="B19" s="63" t="inlineStr">
        <is>
          <t>Premium</t>
        </is>
      </c>
      <c r="C19" s="63" t="inlineStr">
        <is>
          <t>Unknown</t>
        </is>
      </c>
      <c r="D19" s="63" t="inlineStr">
        <is>
          <t>BRL</t>
        </is>
      </c>
      <c r="E19" s="64" t="n">
        <v>31.9</v>
      </c>
      <c r="F19" s="63" t="inlineStr">
        <is>
          <t>Entertainment</t>
        </is>
      </c>
      <c r="G19" s="63" t="inlineStr">
        <is>
          <t>LOW</t>
        </is>
      </c>
      <c r="H19" s="63" t="inlineStr">
        <is>
          <t>CANCEL</t>
        </is>
      </c>
      <c r="I19" s="63" t="inlineStr">
        <is>
          <t>2026-07-23</t>
        </is>
      </c>
      <c r="J19" s="63" t="inlineStr">
        <is>
          <t>Pending</t>
        </is>
      </c>
      <c r="K19" s="34" t="n"/>
      <c r="L19" s="34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4" t="n"/>
      <c r="L20" s="34" t="n"/>
    </row>
    <row r="21" ht="16" customHeight="1" thickBot="1">
      <c r="A21" s="74" t="inlineStr">
        <is>
          <t>◆ DECISION SUMMARY</t>
        </is>
      </c>
      <c r="B21" s="124" t="n"/>
      <c r="C21" s="124" t="n"/>
      <c r="D21" s="124" t="n"/>
      <c r="E21" s="124" t="n"/>
      <c r="F21" s="124" t="n"/>
      <c r="G21" s="124" t="n"/>
      <c r="H21" s="124" t="n"/>
      <c r="I21" s="124" t="n"/>
      <c r="J21" s="124" t="n"/>
      <c r="K21" s="34" t="n"/>
      <c r="L21" s="34" t="n"/>
    </row>
    <row r="22" ht="16" customHeight="1" thickBot="1">
      <c r="A22" s="68" t="inlineStr">
        <is>
          <t>KEEP total/mo</t>
        </is>
      </c>
      <c r="B22" s="69" t="n"/>
      <c r="C22" s="69" t="n"/>
      <c r="D22" s="69" t="n"/>
      <c r="E22" s="70">
        <f>SUMIFS(E5:E19,H5:H19,"KEEP")</f>
        <v/>
      </c>
      <c r="F22" s="68">
        <f>COUNTIF(H5:H19,"KEEP")</f>
        <v/>
      </c>
      <c r="G22" s="35" t="n"/>
      <c r="H22" s="35" t="n"/>
      <c r="I22" s="35" t="n"/>
      <c r="J22" s="35" t="n"/>
      <c r="K22" s="34" t="n"/>
      <c r="L22" s="34" t="n"/>
    </row>
    <row r="23" ht="16" customHeight="1" thickBot="1">
      <c r="A23" s="68" t="inlineStr">
        <is>
          <t>CANCEL savings/mo</t>
        </is>
      </c>
      <c r="B23" s="69" t="n"/>
      <c r="C23" s="69" t="n"/>
      <c r="D23" s="69" t="n"/>
      <c r="E23" s="70">
        <f>SUMIFS(E5:E19,H5:H19,"CANCEL")</f>
        <v/>
      </c>
      <c r="F23" s="68">
        <f>COUNTIF(H5:H19,"CANCEL")</f>
        <v/>
      </c>
      <c r="G23" s="35" t="n"/>
      <c r="H23" s="35" t="n"/>
      <c r="I23" s="35" t="n"/>
      <c r="J23" s="35" t="n"/>
      <c r="K23" s="34" t="n"/>
      <c r="L23" s="34" t="n"/>
    </row>
    <row r="24" ht="16" customHeight="1" thickBot="1">
      <c r="A24" s="71" t="inlineStr">
        <is>
          <t>REVIEW total/mo</t>
        </is>
      </c>
      <c r="B24" s="72" t="n"/>
      <c r="C24" s="72" t="n"/>
      <c r="D24" s="72" t="n"/>
      <c r="E24" s="73">
        <f>SUMIFS(E5:E19,H5:H19,"REVIEW")</f>
        <v/>
      </c>
      <c r="F24" s="71">
        <f>COUNTIF(H5:H19,"REVIEW")</f>
        <v/>
      </c>
      <c r="G24" s="35" t="n"/>
      <c r="H24" s="35" t="n"/>
      <c r="I24" s="35" t="n"/>
      <c r="J24" s="35" t="n"/>
      <c r="K24" s="34" t="n"/>
      <c r="L24" s="34" t="n"/>
    </row>
    <row r="25" ht="16" customHeight="1" thickBo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4" t="n"/>
      <c r="L25" s="34" t="n"/>
    </row>
    <row r="26" ht="16" customHeight="1" thickBot="1">
      <c r="A26" s="68" t="inlineStr">
        <is>
          <t>CANCEL savings/yr</t>
        </is>
      </c>
      <c r="B26" s="69" t="n"/>
      <c r="C26" s="69" t="n"/>
      <c r="D26" s="69" t="n"/>
      <c r="E26" s="70">
        <f>E23*12</f>
        <v/>
      </c>
      <c r="F26" s="69" t="n"/>
      <c r="G26" s="35" t="n"/>
      <c r="H26" s="35" t="n"/>
      <c r="I26" s="35" t="n"/>
      <c r="J26" s="35" t="n"/>
      <c r="K26" s="34" t="n"/>
      <c r="L26" s="34" t="n"/>
    </row>
    <row r="27" ht="16" customHeight="1" thickBot="1">
      <c r="A27" s="71" t="inlineStr">
        <is>
          <t>TOTAL STACK/mo</t>
        </is>
      </c>
      <c r="B27" s="72" t="n"/>
      <c r="C27" s="72" t="n"/>
      <c r="D27" s="72" t="n"/>
      <c r="E27" s="73">
        <f>SUM(E5:E19)</f>
        <v/>
      </c>
      <c r="F27" s="72" t="n"/>
      <c r="G27" s="35" t="n"/>
      <c r="H27" s="35" t="n"/>
      <c r="I27" s="35" t="n"/>
      <c r="J27" s="35" t="n"/>
      <c r="K27" s="34" t="n"/>
      <c r="L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FF6600"/>
    <outlinePr summaryBelow="1" summaryRight="1"/>
    <pageSetUpPr/>
  </sheetPr>
  <dimension ref="A1:F41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3" customWidth="1" min="1" max="1"/>
    <col width="10" customWidth="1" min="2" max="2"/>
    <col width="42" customWidth="1" min="3" max="3"/>
    <col width="16" customWidth="1" min="4" max="5"/>
    <col width="14" customWidth="1" min="6" max="6"/>
  </cols>
  <sheetData>
    <row r="1" ht="16" customHeight="1">
      <c r="A1" s="1" t="inlineStr">
        <is>
          <t>◆ PIX OUT — Banco Inter · Account 6627102</t>
        </is>
      </c>
    </row>
    <row r="2">
      <c r="A2" s="2" t="inlineStr">
        <is>
          <t>Paste PIX Out from Inter extrato. Excluded: PIX In (credits), câmbio/IOF, foreign counterparts (Wise, SBCT, Topázio, IB, Remessa, BB Americas).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Counterpart</t>
        </is>
      </c>
      <c r="D4" s="3" t="inlineStr">
        <is>
          <t>PIX Amount</t>
        </is>
      </c>
    </row>
    <row r="5">
      <c r="A5" s="6" t="inlineStr">
        <is>
          <t>2026-06-05</t>
        </is>
      </c>
      <c r="B5" s="6" t="inlineStr">
        <is>
          <t>PIX Out</t>
        </is>
      </c>
      <c r="C5" s="6" t="inlineStr">
        <is>
          <t>Eduardo Silva Dos Santos</t>
        </is>
      </c>
      <c r="D5" s="18" t="n">
        <v>-480</v>
      </c>
    </row>
    <row r="6">
      <c r="A6" s="13" t="inlineStr">
        <is>
          <t>2026-05-28</t>
        </is>
      </c>
      <c r="B6" s="13" t="inlineStr">
        <is>
          <t>PIX Out</t>
        </is>
      </c>
      <c r="C6" s="13" t="inlineStr">
        <is>
          <t>Eduardo Silva Dos Santos</t>
        </is>
      </c>
      <c r="D6" s="19" t="n">
        <v>-450</v>
      </c>
    </row>
    <row r="7">
      <c r="A7" s="6" t="inlineStr">
        <is>
          <t>2026-05-25</t>
        </is>
      </c>
      <c r="B7" s="6" t="inlineStr">
        <is>
          <t>PIX Out</t>
        </is>
      </c>
      <c r="C7" s="6" t="inlineStr">
        <is>
          <t>Eduardo Silva Dos Santos</t>
        </is>
      </c>
      <c r="D7" s="18" t="n">
        <v>-470</v>
      </c>
    </row>
    <row r="8">
      <c r="A8" s="13" t="inlineStr">
        <is>
          <t>2026-05-24</t>
        </is>
      </c>
      <c r="B8" s="13" t="inlineStr">
        <is>
          <t>PIX Out</t>
        </is>
      </c>
      <c r="C8" s="13" t="inlineStr">
        <is>
          <t>Moacir Jose De Morais Filho</t>
        </is>
      </c>
      <c r="D8" s="19" t="n">
        <v>-700</v>
      </c>
    </row>
    <row r="9">
      <c r="A9" s="6" t="inlineStr">
        <is>
          <t>2026-05-22</t>
        </is>
      </c>
      <c r="B9" s="6" t="inlineStr">
        <is>
          <t>PIX Out</t>
        </is>
      </c>
      <c r="C9" s="6" t="inlineStr">
        <is>
          <t>Lucas Rique Chaves Bezerra</t>
        </is>
      </c>
      <c r="D9" s="18" t="n">
        <v>-1500</v>
      </c>
    </row>
    <row r="10">
      <c r="A10" s="13" t="inlineStr">
        <is>
          <t>2026-05-22</t>
        </is>
      </c>
      <c r="B10" s="13" t="inlineStr">
        <is>
          <t>PIX Out</t>
        </is>
      </c>
      <c r="C10" s="13" t="inlineStr">
        <is>
          <t>Lucas Rique Chaves Bezerra</t>
        </is>
      </c>
      <c r="D10" s="19" t="n">
        <v>-500</v>
      </c>
    </row>
    <row r="11">
      <c r="A11" s="6" t="inlineStr">
        <is>
          <t>2026-05-18</t>
        </is>
      </c>
      <c r="B11" s="6" t="inlineStr">
        <is>
          <t>PIX Out</t>
        </is>
      </c>
      <c r="C11" s="6" t="inlineStr">
        <is>
          <t>Eduardo Giovannini</t>
        </is>
      </c>
      <c r="D11" s="18" t="n">
        <v>-20000</v>
      </c>
    </row>
    <row r="12">
      <c r="A12" s="13" t="inlineStr">
        <is>
          <t>2026-04-28</t>
        </is>
      </c>
      <c r="B12" s="13" t="inlineStr">
        <is>
          <t>PIX Out</t>
        </is>
      </c>
      <c r="C12" s="13" t="inlineStr">
        <is>
          <t>Gloria Raquel M C Nobrega</t>
        </is>
      </c>
      <c r="D12" s="19" t="n">
        <v>-50</v>
      </c>
    </row>
    <row r="13">
      <c r="A13" s="6" t="inlineStr">
        <is>
          <t>2026-04-28</t>
        </is>
      </c>
      <c r="B13" s="6" t="inlineStr">
        <is>
          <t>PIX Out</t>
        </is>
      </c>
      <c r="C13" s="6" t="inlineStr">
        <is>
          <t>Mag Administracao De Negocios Ltda</t>
        </is>
      </c>
      <c r="D13" s="18" t="n">
        <v>-10</v>
      </c>
    </row>
    <row r="14">
      <c r="A14" s="13" t="inlineStr">
        <is>
          <t>2026-04-28</t>
        </is>
      </c>
      <c r="B14" s="13" t="inlineStr">
        <is>
          <t>PIX Out</t>
        </is>
      </c>
      <c r="C14" s="13" t="inlineStr">
        <is>
          <t>Eduardo Silva Dos Santos</t>
        </is>
      </c>
      <c r="D14" s="19" t="n">
        <v>-470</v>
      </c>
    </row>
    <row r="15">
      <c r="A15" s="6" t="inlineStr">
        <is>
          <t>2026-04-24</t>
        </is>
      </c>
      <c r="B15" s="6" t="inlineStr">
        <is>
          <t>PIX Out</t>
        </is>
      </c>
      <c r="C15" s="6" t="inlineStr">
        <is>
          <t>Jose Periclis De Sousa Da Costa</t>
        </is>
      </c>
      <c r="D15" s="18" t="n">
        <v>-6800</v>
      </c>
    </row>
    <row r="16">
      <c r="A16" s="13" t="inlineStr">
        <is>
          <t>2026-04-21</t>
        </is>
      </c>
      <c r="B16" s="13" t="inlineStr">
        <is>
          <t>PIX Out</t>
        </is>
      </c>
      <c r="C16" s="13" t="inlineStr">
        <is>
          <t>Eduardo Forster Giovannini</t>
        </is>
      </c>
      <c r="D16" s="19" t="n">
        <v>-3000</v>
      </c>
    </row>
    <row r="17">
      <c r="A17" s="6" t="inlineStr">
        <is>
          <t>2026-03-20</t>
        </is>
      </c>
      <c r="B17" s="6" t="inlineStr">
        <is>
          <t>PIX Out</t>
        </is>
      </c>
      <c r="C17" s="6" t="inlineStr">
        <is>
          <t>Eduardo Silva Dos Santos</t>
        </is>
      </c>
      <c r="D17" s="18" t="n">
        <v>-350</v>
      </c>
    </row>
    <row r="18">
      <c r="A18" s="13" t="inlineStr">
        <is>
          <t>2026-03-17</t>
        </is>
      </c>
      <c r="B18" s="13" t="inlineStr">
        <is>
          <t>PIX Out</t>
        </is>
      </c>
      <c r="C18" s="13" t="inlineStr">
        <is>
          <t>Iago Kevyn Santos Moura</t>
        </is>
      </c>
      <c r="D18" s="19" t="n">
        <v>-500</v>
      </c>
    </row>
    <row r="19">
      <c r="A19" s="6" t="inlineStr">
        <is>
          <t>2026-03-15</t>
        </is>
      </c>
      <c r="B19" s="6" t="inlineStr">
        <is>
          <t>PIX Out</t>
        </is>
      </c>
      <c r="C19" s="6" t="inlineStr">
        <is>
          <t>Eduardo Forster Giovannini</t>
        </is>
      </c>
      <c r="D19" s="18" t="n">
        <v>-6000</v>
      </c>
    </row>
    <row r="20">
      <c r="A20" s="13" t="inlineStr">
        <is>
          <t>2026-03-15</t>
        </is>
      </c>
      <c r="B20" s="13" t="inlineStr">
        <is>
          <t>PIX Out</t>
        </is>
      </c>
      <c r="C20" s="13" t="inlineStr">
        <is>
          <t>Mercado Pago Instituicao De Pagamento Ltda</t>
        </is>
      </c>
      <c r="D20" s="19" t="n">
        <v>-4582.41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6">
      <c r="A36" s="10" t="inlineStr">
        <is>
          <t>◆ SUMMARY</t>
        </is>
      </c>
    </row>
    <row r="37">
      <c r="A37" s="21" t="inlineStr">
        <is>
          <t>PIX Out</t>
        </is>
      </c>
      <c r="D37" s="17">
        <f>SUMIFS(D5:D34,D5:D34,"&lt;0")</f>
        <v/>
      </c>
    </row>
    <row r="38"/>
    <row r="39"/>
    <row r="40"/>
    <row r="41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F6600"/>
    <outlinePr summaryBelow="1" summaryRight="1"/>
    <pageSetUpPr/>
  </sheetPr>
  <dimension ref="A1:J1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22" customWidth="1" min="1" max="1"/>
    <col width="10" customWidth="1" min="2" max="4"/>
    <col width="13" customWidth="1" min="5" max="5"/>
    <col width="10" customWidth="1" min="6" max="6"/>
    <col width="30" customWidth="1" min="7" max="7"/>
    <col width="10" customWidth="1" min="8" max="9"/>
    <col width="35" customWidth="1" min="10" max="10"/>
  </cols>
  <sheetData>
    <row r="1" ht="16" customHeight="1">
      <c r="A1" s="1" t="inlineStr">
        <is>
          <t>◆ REPOS — Git Repository Health · ~/Documents/GitHub</t>
        </is>
      </c>
    </row>
    <row r="2">
      <c r="A2" s="2" t="inlineStr">
        <is>
          <t>Update via rescan-repos.zsh output. Currently 2 repos on iMac M3.</t>
        </is>
      </c>
    </row>
    <row r="4">
      <c r="A4" s="3" t="inlineStr">
        <is>
          <t>Name</t>
        </is>
      </c>
      <c r="B4" s="3" t="inlineStr">
        <is>
          <t>Status</t>
        </is>
      </c>
      <c r="C4" s="3" t="inlineStr">
        <is>
          <t>Branch</t>
        </is>
      </c>
      <c r="D4" s="3" t="inlineStr">
        <is>
          <t>Dirty Files</t>
        </is>
      </c>
      <c r="E4" s="3" t="inlineStr">
        <is>
          <t>Last Commit</t>
        </is>
      </c>
      <c r="F4" s="3" t="inlineStr">
        <is>
          <t>Days Since</t>
        </is>
      </c>
      <c r="G4" s="3" t="inlineStr">
        <is>
          <t>Remote</t>
        </is>
      </c>
      <c r="H4" s="3" t="inlineStr">
        <is>
          <t>Language</t>
        </is>
      </c>
      <c r="I4" s="3" t="inlineStr">
        <is>
          <t>Risk Score</t>
        </is>
      </c>
      <c r="J4" s="3" t="inlineStr">
        <is>
          <t>Notes</t>
        </is>
      </c>
    </row>
    <row r="5">
      <c r="A5" s="4" t="inlineStr">
        <is>
          <t>financas-2026</t>
        </is>
      </c>
      <c r="B5" s="20" t="inlineStr">
        <is>
          <t>dirty</t>
        </is>
      </c>
      <c r="C5" s="6" t="inlineStr">
        <is>
          <t>main</t>
        </is>
      </c>
      <c r="D5" s="25" t="n">
        <v>2</v>
      </c>
      <c r="E5" s="6" t="inlineStr">
        <is>
          <t>2026-07-14</t>
        </is>
      </c>
      <c r="F5" s="26">
        <f>IFERROR(TODAY()-DATEVALUE(E5),"")</f>
        <v/>
      </c>
      <c r="G5" s="4" t="inlineStr">
        <is>
          <t>github.com/AUTOGIO/financas-2026</t>
        </is>
      </c>
      <c r="H5" s="4" t="inlineStr">
        <is>
          <t>Python</t>
        </is>
      </c>
      <c r="I5" s="26">
        <f>IF(B5="broken",40,IF(B5="dirty",20+D5,0))+IF(C5&lt;&gt;"main",10,0)+IF(F5&gt;30,5,0)</f>
        <v/>
      </c>
      <c r="J5" s="7" t="inlineStr">
        <is>
          <t>Primary finance workspace · command-center source</t>
        </is>
      </c>
    </row>
    <row r="6">
      <c r="A6" s="4" t="inlineStr">
        <is>
          <t>MacHealthOS</t>
        </is>
      </c>
      <c r="B6" s="20" t="inlineStr">
        <is>
          <t>dirty</t>
        </is>
      </c>
      <c r="C6" s="6" t="inlineStr">
        <is>
          <t>main</t>
        </is>
      </c>
      <c r="D6" s="25" t="n">
        <v>5</v>
      </c>
      <c r="E6" s="6" t="inlineStr">
        <is>
          <t>2026-07-10</t>
        </is>
      </c>
      <c r="F6" s="26">
        <f>IFERROR(TODAY()-DATEVALUE(E6),"")</f>
        <v/>
      </c>
      <c r="G6" s="4" t="inlineStr">
        <is>
          <t>github.com/AUTOGIO/MacHealthOS</t>
        </is>
      </c>
      <c r="H6" s="4" t="inlineStr">
        <is>
          <t>Swift</t>
        </is>
      </c>
      <c r="I6" s="26">
        <f>IF(B6="broken",40,IF(B6="dirty",20+D6,0))+IF(C6&lt;&gt;"main",10,0)+IF(F6&gt;30,5,0)</f>
        <v/>
      </c>
      <c r="J6" s="7" t="inlineStr">
        <is>
          <t>Mac system health monitoring</t>
        </is>
      </c>
    </row>
    <row r="8">
      <c r="A8" s="10" t="inlineStr">
        <is>
          <t>◆ STATUS SUMMARY</t>
        </is>
      </c>
    </row>
    <row r="9">
      <c r="A9" s="21" t="inlineStr">
        <is>
          <t>Total Repos</t>
        </is>
      </c>
      <c r="B9" s="4">
        <f>COUNTA(A5:A6)</f>
        <v/>
      </c>
    </row>
    <row r="10">
      <c r="A10" s="21" t="inlineStr">
        <is>
          <t>Clean</t>
        </is>
      </c>
      <c r="B10" s="4">
        <f>COUNTIF(B5:B6,"clean")</f>
        <v/>
      </c>
    </row>
    <row r="11">
      <c r="A11" s="21" t="inlineStr">
        <is>
          <t>Dirty</t>
        </is>
      </c>
      <c r="B11" s="4">
        <f>COUNTIF(B5:B6,"dirty")</f>
        <v/>
      </c>
    </row>
    <row r="12">
      <c r="A12" s="21" t="inlineStr">
        <is>
          <t>Broken</t>
        </is>
      </c>
      <c r="B12" s="4">
        <f>COUNTIF(B5:B6,"broken")</f>
        <v/>
      </c>
    </row>
    <row r="14">
      <c r="A14" s="7" t="inlineStr">
        <is>
          <t>Add more repos as you clone them to the iMac. Run rescan-repos.zsh to auto-populate.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F6600"/>
    <outlinePr summaryBelow="1" summaryRight="1"/>
    <pageSetUpPr/>
  </sheetPr>
  <dimension ref="A1:G1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22" customWidth="1" min="1" max="1"/>
    <col width="10" customWidth="1" min="2" max="2"/>
    <col width="32" customWidth="1" min="3" max="3"/>
    <col width="28" customWidth="1" min="4" max="4"/>
    <col width="32" customWidth="1" min="5" max="5"/>
    <col width="13" customWidth="1" min="6" max="6"/>
    <col width="10" customWidth="1" min="7" max="7"/>
  </cols>
  <sheetData>
    <row r="1" ht="16" customHeight="1">
      <c r="A1" s="1" t="inlineStr">
        <is>
          <t>◆ PROJECTS — Operational Status Board</t>
        </is>
      </c>
    </row>
    <row r="2">
      <c r="A2" s="2" t="inlineStr">
        <is>
          <t>Manual update. One row per active project. This is NOT automated — it is your 2-min status board.</t>
        </is>
      </c>
    </row>
    <row r="4">
      <c r="A4" s="3" t="inlineStr">
        <is>
          <t>Project</t>
        </is>
      </c>
      <c r="B4" s="3" t="inlineStr">
        <is>
          <t>Status</t>
        </is>
      </c>
      <c r="C4" s="3" t="inlineStr">
        <is>
          <t>Current Focus</t>
        </is>
      </c>
      <c r="D4" s="3" t="inlineStr">
        <is>
          <t>Blocker</t>
        </is>
      </c>
      <c r="E4" s="3" t="inlineStr">
        <is>
          <t>Next Action</t>
        </is>
      </c>
      <c r="F4" s="3" t="inlineStr">
        <is>
          <t>Last Touched</t>
        </is>
      </c>
      <c r="G4" s="3" t="inlineStr">
        <is>
          <t>Priority</t>
        </is>
      </c>
    </row>
    <row r="5">
      <c r="A5" s="4" t="inlineStr">
        <is>
          <t>financas-2026</t>
        </is>
      </c>
      <c r="B5" s="20" t="inlineStr">
        <is>
          <t>Active</t>
        </is>
      </c>
      <c r="C5" s="20" t="inlineStr">
        <is>
          <t>Command Center build</t>
        </is>
      </c>
      <c r="D5" s="20" t="inlineStr">
        <is>
          <t>None</t>
        </is>
      </c>
      <c r="E5" s="20" t="inlineStr">
        <is>
          <t>Complete xlsx + html</t>
        </is>
      </c>
      <c r="F5" s="6" t="inlineStr">
        <is>
          <t>2026-07-14</t>
        </is>
      </c>
      <c r="G5" s="20" t="inlineStr">
        <is>
          <t>HIGH</t>
        </is>
      </c>
    </row>
    <row r="6">
      <c r="A6" s="14" t="inlineStr">
        <is>
          <t>MacHealthOS</t>
        </is>
      </c>
      <c r="B6" s="20" t="inlineStr">
        <is>
          <t>Active</t>
        </is>
      </c>
      <c r="C6" s="20" t="inlineStr">
        <is>
          <t>iMac M3 setup from zero</t>
        </is>
      </c>
      <c r="D6" s="20" t="inlineStr">
        <is>
          <t>None</t>
        </is>
      </c>
      <c r="E6" s="20" t="inlineStr">
        <is>
          <t>Continue system configuration</t>
        </is>
      </c>
      <c r="F6" s="13" t="inlineStr">
        <is>
          <t>2026-07-10</t>
        </is>
      </c>
      <c r="G6" s="20" t="inlineStr">
        <is>
          <t>HIGH</t>
        </is>
      </c>
    </row>
    <row r="7">
      <c r="A7" s="4" t="inlineStr">
        <is>
          <t>Global Retirement ETF</t>
        </is>
      </c>
      <c r="B7" s="20" t="inlineStr">
        <is>
          <t>Paused</t>
        </is>
      </c>
      <c r="C7" s="20" t="inlineStr">
        <is>
          <t>Portfolio architecture</t>
        </is>
      </c>
      <c r="D7" s="20" t="inlineStr">
        <is>
          <t>Waiting for iMac setup</t>
        </is>
      </c>
      <c r="E7" s="20" t="inlineStr">
        <is>
          <t>Clone repo to iMac when ready</t>
        </is>
      </c>
      <c r="F7" s="6" t="n"/>
      <c r="G7" s="20" t="inlineStr">
        <is>
          <t>MEDIUM</t>
        </is>
      </c>
    </row>
    <row r="8">
      <c r="A8" s="14" t="inlineStr">
        <is>
          <t>IBKR-Excel-Bridge</t>
        </is>
      </c>
      <c r="B8" s="20" t="inlineStr">
        <is>
          <t>Paused</t>
        </is>
      </c>
      <c r="C8" s="20" t="inlineStr">
        <is>
          <t>IB → Excel snapshots</t>
        </is>
      </c>
      <c r="D8" s="20" t="inlineStr">
        <is>
          <t>Needs TWS on iMac</t>
        </is>
      </c>
      <c r="E8" s="20" t="inlineStr">
        <is>
          <t>Install TWS, clone repo</t>
        </is>
      </c>
      <c r="F8" s="13" t="n"/>
      <c r="G8" s="20" t="inlineStr">
        <is>
          <t>MEDIUM</t>
        </is>
      </c>
    </row>
    <row r="9">
      <c r="A9" s="4" t="inlineStr">
        <is>
          <t>PersonalLifeOS</t>
        </is>
      </c>
      <c r="B9" s="20" t="inlineStr">
        <is>
          <t>Paused</t>
        </is>
      </c>
      <c r="C9" s="20" t="inlineStr">
        <is>
          <t>SwiftUI habits/schedule</t>
        </is>
      </c>
      <c r="D9" s="20" t="inlineStr">
        <is>
          <t>Needs clean Xcode build</t>
        </is>
      </c>
      <c r="E9" s="20" t="inlineStr">
        <is>
          <t>Verify build on MBA, then clone</t>
        </is>
      </c>
      <c r="F9" s="6" t="n"/>
      <c r="G9" s="20" t="inlineStr">
        <is>
          <t>LOW</t>
        </is>
      </c>
    </row>
    <row r="10">
      <c r="A10" s="14" t="inlineStr">
        <is>
          <t>AUTOGIO_PIOS</t>
        </is>
      </c>
      <c r="B10" s="20" t="inlineStr">
        <is>
          <t>Paused</t>
        </is>
      </c>
      <c r="C10" s="20" t="inlineStr">
        <is>
          <t>UniFi/Starlink health</t>
        </is>
      </c>
      <c r="D10" s="20" t="inlineStr">
        <is>
          <t>WAN stability gate reset</t>
        </is>
      </c>
      <c r="E10" s="20" t="inlineStr">
        <is>
          <t>Re-run WAN gate when on iMac</t>
        </is>
      </c>
      <c r="F10" s="13" t="n"/>
      <c r="G10" s="20" t="inlineStr">
        <is>
          <t>LOW</t>
        </is>
      </c>
    </row>
    <row r="12">
      <c r="A12" s="10" t="inlineStr">
        <is>
          <t>◆ COUNTS</t>
        </is>
      </c>
    </row>
    <row r="13">
      <c r="A13" s="4" t="inlineStr">
        <is>
          <t>Active</t>
        </is>
      </c>
      <c r="B13" s="4">
        <f>COUNTIF(B5:B10,"Active")</f>
        <v/>
      </c>
    </row>
    <row r="14">
      <c r="A14" s="4" t="inlineStr">
        <is>
          <t>Paused</t>
        </is>
      </c>
      <c r="B14" s="4">
        <f>COUNTIF(B5:B10,"Paused")</f>
        <v/>
      </c>
    </row>
    <row r="15">
      <c r="A15" s="4" t="inlineStr">
        <is>
          <t>Blocked</t>
        </is>
      </c>
      <c r="B15" s="4">
        <f>COUNTIF(B5:B10,"Blocked")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6600"/>
    <outlinePr summaryBelow="1" summaryRight="1"/>
    <pageSetUpPr/>
  </sheetPr>
  <dimension ref="A1:D16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28" customWidth="1" min="1" max="1"/>
    <col width="14" customWidth="1" min="2" max="2"/>
    <col width="10" customWidth="1" min="3" max="3"/>
    <col width="50" customWidth="1" min="4" max="4"/>
  </cols>
  <sheetData>
    <row r="1" ht="16" customHeight="1">
      <c r="A1" s="1" t="inlineStr">
        <is>
          <t>◆ CONFIG — Alert Thresholds &amp; Parameters</t>
        </is>
      </c>
    </row>
    <row r="2">
      <c r="A2" s="2" t="inlineStr">
        <is>
          <t>Edit values to change what triggers alerts in the Command Center.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Liquidity Floor</t>
        </is>
      </c>
      <c r="B5" s="5" t="n">
        <v>20000</v>
      </c>
      <c r="C5" s="4" t="inlineStr">
        <is>
          <t>BRL</t>
        </is>
      </c>
      <c r="D5" s="7" t="inlineStr">
        <is>
          <t>Alert if TOTAL LIQUID &lt; this value</t>
        </is>
      </c>
    </row>
    <row r="6">
      <c r="A6" s="14" t="inlineStr">
        <is>
          <t>Monthly Burn Cap</t>
        </is>
      </c>
      <c r="B6" s="5" t="n">
        <v>8000</v>
      </c>
      <c r="C6" s="14" t="inlineStr">
        <is>
          <t>BRL</t>
        </is>
      </c>
      <c r="D6" s="16" t="inlineStr">
        <is>
          <t>Alert if card spend in any month exceeds this</t>
        </is>
      </c>
    </row>
    <row r="7">
      <c r="A7" s="4" t="inlineStr">
        <is>
          <t>Subscription Stack Cap</t>
        </is>
      </c>
      <c r="B7" s="5" t="n">
        <v>500</v>
      </c>
      <c r="C7" s="4" t="inlineStr">
        <is>
          <t>BRL/mo</t>
        </is>
      </c>
      <c r="D7" s="7" t="inlineStr">
        <is>
          <t>Alert if total KEEP subscriptions &gt; this</t>
        </is>
      </c>
    </row>
    <row r="8">
      <c r="A8" s="14" t="inlineStr">
        <is>
          <t>Repo Staleness Days</t>
        </is>
      </c>
      <c r="B8" s="27" t="n">
        <v>30</v>
      </c>
      <c r="C8" s="14" t="inlineStr">
        <is>
          <t>days</t>
        </is>
      </c>
      <c r="D8" s="16" t="inlineStr">
        <is>
          <t>Risk score +5 if repo has no commit in this many days</t>
        </is>
      </c>
    </row>
    <row r="9">
      <c r="A9" s="4" t="inlineStr">
        <is>
          <t>Cancel Savings Target</t>
        </is>
      </c>
      <c r="B9" s="5" t="n">
        <v>365.8</v>
      </c>
      <c r="C9" s="4" t="inlineStr">
        <is>
          <t>BRL/mo</t>
        </is>
      </c>
      <c r="D9" s="7" t="inlineStr">
        <is>
          <t>Expected monthly savings from CANCEL queue</t>
        </is>
      </c>
    </row>
    <row r="10">
      <c r="A10" s="14" t="inlineStr">
        <is>
          <t>Renewal Warning Days</t>
        </is>
      </c>
      <c r="B10" s="27" t="n">
        <v>7</v>
      </c>
      <c r="C10" s="14" t="inlineStr">
        <is>
          <t>days</t>
        </is>
      </c>
      <c r="D10" s="16" t="inlineStr">
        <is>
          <t>Alert when a subscription renewal is within this many days</t>
        </is>
      </c>
    </row>
    <row r="11">
      <c r="A11" s="4" t="inlineStr">
        <is>
          <t>Project Stale Days</t>
        </is>
      </c>
      <c r="B11" s="27" t="n">
        <v>14</v>
      </c>
      <c r="C11" s="4" t="inlineStr">
        <is>
          <t>days</t>
        </is>
      </c>
      <c r="D11" s="7" t="inlineStr">
        <is>
          <t>Alert if active project not touched in this many days</t>
        </is>
      </c>
    </row>
    <row r="12">
      <c r="A12" s="14" t="inlineStr">
        <is>
          <t>Base Currency</t>
        </is>
      </c>
      <c r="B12" s="20" t="inlineStr">
        <is>
          <t>BRL</t>
        </is>
      </c>
      <c r="C12" s="14" t="n"/>
      <c r="D12" s="16" t="inlineStr">
        <is>
          <t>All amounts denominated in BRL unless marked USD</t>
        </is>
      </c>
    </row>
    <row r="13">
      <c r="A13" s="4" t="inlineStr">
        <is>
          <t>Report Period</t>
        </is>
      </c>
      <c r="B13" s="20" t="inlineStr">
        <is>
          <t>H1 2026</t>
        </is>
      </c>
      <c r="C13" s="4" t="n"/>
      <c r="D13" s="7" t="inlineStr">
        <is>
          <t>Jan-Jun 2026</t>
        </is>
      </c>
    </row>
    <row r="14">
      <c r="A14" s="14" t="inlineStr">
        <is>
          <t>Owner</t>
        </is>
      </c>
      <c r="B14" s="20" t="inlineStr">
        <is>
          <t>Eduardo Forster Giovannini</t>
        </is>
      </c>
      <c r="C14" s="14" t="n"/>
      <c r="D14" s="16" t="inlineStr">
        <is>
          <t>CPF redacted</t>
        </is>
      </c>
    </row>
    <row r="15"/>
    <row r="16"/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FF6600"/>
    <outlinePr summaryBelow="1" summaryRight="1"/>
    <pageSetUpPr/>
  </sheetPr>
  <dimension ref="A1:I2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2" customWidth="1" min="1" max="1"/>
    <col width="14" customWidth="1" min="2" max="2"/>
    <col width="6" customWidth="1" min="3" max="3"/>
    <col width="14" customWidth="1" min="4" max="5"/>
    <col width="16" customWidth="1" min="6" max="6"/>
    <col width="14" customWidth="1" min="7" max="7"/>
    <col width="12" customWidth="1" min="8" max="8"/>
    <col width="16" customWidth="1" min="9" max="9"/>
  </cols>
  <sheetData>
    <row r="1" ht="16" customHeight="1">
      <c r="A1" s="1" t="inlineStr">
        <is>
          <t>◆ MONTHLY — Outflow Summary · Jan–Jun 2026</t>
        </is>
      </c>
    </row>
    <row r="2">
      <c r="A2" s="2" t="inlineStr">
        <is>
          <t>One row per month. Card from TRANSACTIONS, PIX Out from PIX tab. Update when new month closes.</t>
        </is>
      </c>
    </row>
    <row r="4">
      <c r="A4" s="3" t="inlineStr">
        <is>
          <t>Month</t>
        </is>
      </c>
      <c r="B4" s="3" t="inlineStr">
        <is>
          <t>Card Spend</t>
        </is>
      </c>
      <c r="C4" s="3" t="inlineStr">
        <is>
          <t>Txs</t>
        </is>
      </c>
      <c r="D4" s="3" t="inlineStr">
        <is>
          <t>PIX Out</t>
        </is>
      </c>
      <c r="E4" s="3" t="inlineStr">
        <is>
          <t>Total Out</t>
        </is>
      </c>
    </row>
    <row r="5">
      <c r="A5" s="4" t="inlineStr">
        <is>
          <t>2026-01</t>
        </is>
      </c>
      <c r="B5" s="5" t="n">
        <v>3745.4</v>
      </c>
      <c r="C5" s="28" t="n">
        <v>18</v>
      </c>
      <c r="D5" s="5" t="n">
        <v>0</v>
      </c>
      <c r="E5" s="5">
        <f>B5+D5</f>
        <v/>
      </c>
    </row>
    <row r="6">
      <c r="A6" s="14" t="inlineStr">
        <is>
          <t>2026-02</t>
        </is>
      </c>
      <c r="B6" s="5" t="n">
        <v>9515.9</v>
      </c>
      <c r="C6" s="28" t="n">
        <v>21</v>
      </c>
      <c r="D6" s="5" t="n">
        <v>0</v>
      </c>
      <c r="E6" s="5">
        <f>B6+D6</f>
        <v/>
      </c>
    </row>
    <row r="7">
      <c r="A7" s="4" t="inlineStr">
        <is>
          <t>2026-03</t>
        </is>
      </c>
      <c r="B7" s="5" t="n">
        <v>14231.47</v>
      </c>
      <c r="C7" s="28" t="n">
        <v>32</v>
      </c>
      <c r="D7" s="5" t="n">
        <v>11432.41</v>
      </c>
      <c r="E7" s="5">
        <f>B7+D7</f>
        <v/>
      </c>
    </row>
    <row r="8">
      <c r="A8" s="14" t="inlineStr">
        <is>
          <t>2026-04</t>
        </is>
      </c>
      <c r="B8" s="5" t="n">
        <v>5330.44</v>
      </c>
      <c r="C8" s="28" t="n">
        <v>33</v>
      </c>
      <c r="D8" s="5" t="n">
        <v>10330</v>
      </c>
      <c r="E8" s="5">
        <f>B8+D8</f>
        <v/>
      </c>
    </row>
    <row r="9">
      <c r="A9" s="4" t="inlineStr">
        <is>
          <t>2026-05</t>
        </is>
      </c>
      <c r="B9" s="5" t="n">
        <v>3308.38</v>
      </c>
      <c r="C9" s="28" t="n">
        <v>29</v>
      </c>
      <c r="D9" s="5" t="n">
        <v>23620</v>
      </c>
      <c r="E9" s="5">
        <f>B9+D9</f>
        <v/>
      </c>
    </row>
    <row r="10">
      <c r="A10" s="14" t="inlineStr">
        <is>
          <t>2026-06</t>
        </is>
      </c>
      <c r="B10" s="5" t="n">
        <v>1114.17</v>
      </c>
      <c r="C10" s="28" t="n">
        <v>13</v>
      </c>
      <c r="D10" s="5" t="n">
        <v>480</v>
      </c>
      <c r="E10" s="5">
        <f>B10+D10</f>
        <v/>
      </c>
    </row>
    <row r="11">
      <c r="A11" s="8" t="inlineStr">
        <is>
          <t>TOTAL H1 2026</t>
        </is>
      </c>
      <c r="B11" s="9">
        <f>SUM(B5:B10)</f>
        <v/>
      </c>
      <c r="C11" s="29">
        <f>SUM(C5:C10)</f>
        <v/>
      </c>
      <c r="D11" s="9">
        <f>SUM(D5:D10)</f>
        <v/>
      </c>
      <c r="E11" s="9">
        <f>SUM(E5:E10)</f>
        <v/>
      </c>
    </row>
    <row r="12">
      <c r="A12" s="21" t="inlineStr">
        <is>
          <t>AVG/MONTH</t>
        </is>
      </c>
      <c r="B12" s="17">
        <f>B11/6</f>
        <v/>
      </c>
      <c r="D12" s="17">
        <f>D11/6</f>
        <v/>
      </c>
      <c r="E12" s="17">
        <f>E11/6</f>
        <v/>
      </c>
    </row>
    <row r="15">
      <c r="A15" s="10" t="inlineStr">
        <is>
          <t>◆ MoM CHANGES — Card Spend</t>
        </is>
      </c>
    </row>
    <row r="16">
      <c r="A16" s="11" t="inlineStr">
        <is>
          <t>Month</t>
        </is>
      </c>
      <c r="B16" s="11" t="inlineStr">
        <is>
          <t>Spend</t>
        </is>
      </c>
      <c r="C16" s="11" t="inlineStr">
        <is>
          <t>Prior Month</t>
        </is>
      </c>
      <c r="D16" s="11" t="inlineStr">
        <is>
          <t>MoM %</t>
        </is>
      </c>
      <c r="E16" s="11" t="inlineStr">
        <is>
          <t>Direction</t>
        </is>
      </c>
    </row>
    <row r="17">
      <c r="A17" s="4" t="inlineStr">
        <is>
          <t>2026-06</t>
        </is>
      </c>
      <c r="B17" s="17" t="n">
        <v>1114.17</v>
      </c>
      <c r="C17" s="17" t="n">
        <v>3308.38</v>
      </c>
      <c r="D17" s="187">
        <f>IFERROR((B17-C17)/C17,0)</f>
        <v/>
      </c>
      <c r="E17" s="4">
        <f>IF(D17&lt;0,"▼ Lower","▲ Higher")</f>
        <v/>
      </c>
    </row>
    <row r="18">
      <c r="A18" s="4" t="inlineStr">
        <is>
          <t>2026-05</t>
        </is>
      </c>
      <c r="B18" s="17" t="n">
        <v>3308.38</v>
      </c>
      <c r="C18" s="17" t="n">
        <v>5330.44</v>
      </c>
      <c r="D18" s="187">
        <f>IFERROR((B18-C18)/C18,0)</f>
        <v/>
      </c>
      <c r="E18" s="4">
        <f>IF(D18&lt;0,"▼ Lower","▲ Higher")</f>
        <v/>
      </c>
    </row>
    <row r="19">
      <c r="A19" s="4" t="inlineStr">
        <is>
          <t>2026-04</t>
        </is>
      </c>
      <c r="B19" s="17" t="n">
        <v>5330.44</v>
      </c>
      <c r="C19" s="17" t="n">
        <v>14231.47</v>
      </c>
      <c r="D19" s="187">
        <f>IFERROR((B19-C19)/C19,0)</f>
        <v/>
      </c>
      <c r="E19" s="4">
        <f>IF(D19&lt;0,"▼ Lower","▲ Higher")</f>
        <v/>
      </c>
    </row>
    <row r="20">
      <c r="A20" s="4" t="inlineStr">
        <is>
          <t>2026-03</t>
        </is>
      </c>
      <c r="B20" s="17" t="n">
        <v>14231.47</v>
      </c>
      <c r="C20" s="17" t="n">
        <v>9515.9</v>
      </c>
      <c r="D20" s="187">
        <f>IFERROR((B20-C20)/C20,0)</f>
        <v/>
      </c>
      <c r="E20" s="4">
        <f>IF(D20&lt;0,"▼ Lower","▲ Higher")</f>
        <v/>
      </c>
    </row>
    <row r="21">
      <c r="A21" s="4" t="inlineStr">
        <is>
          <t>2026-02</t>
        </is>
      </c>
      <c r="B21" s="17" t="n">
        <v>9515.9</v>
      </c>
      <c r="C21" s="17" t="n">
        <v>3745.4</v>
      </c>
      <c r="D21" s="187">
        <f>IFERROR((B21-C21)/C21,0)</f>
        <v/>
      </c>
      <c r="E21" s="4">
        <f>IF(D21&lt;0,"▼ Lower","▲ Higher")</f>
        <v/>
      </c>
    </row>
    <row r="22">
      <c r="A22" s="4" t="inlineStr">
        <is>
          <t>2026-01</t>
        </is>
      </c>
      <c r="B22" s="17" t="n">
        <v>3745.4</v>
      </c>
      <c r="C22" s="17" t="n">
        <v>0</v>
      </c>
      <c r="D22" s="187">
        <f>IFERROR((B22-C22)/C22,0)</f>
        <v/>
      </c>
      <c r="E22" s="4">
        <f>IF(D22&lt;0,"▼ Lower","▲ Higher")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FF6600"/>
    <outlinePr summaryBelow="1" summaryRight="1"/>
    <pageSetUpPr/>
  </sheetPr>
  <dimension ref="A1:F2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8" customWidth="1" min="1" max="1"/>
    <col width="14" customWidth="1" min="2" max="2"/>
    <col width="10" customWidth="1" min="3" max="3"/>
    <col width="14" customWidth="1" min="4" max="4"/>
    <col width="6" customWidth="1" min="5" max="5"/>
    <col width="18" customWidth="1" min="6" max="6"/>
  </cols>
  <sheetData>
    <row r="1" ht="16" customHeight="1">
      <c r="A1" s="1" t="inlineStr">
        <is>
          <t>◆ CATEGORIES — Card Spend Breakdown · H1 2026</t>
        </is>
      </c>
    </row>
    <row r="2">
      <c r="A2" s="2" t="inlineStr">
        <is>
          <t>Sorted largest to smallest. Update when full transaction data changes.</t>
        </is>
      </c>
    </row>
    <row r="4">
      <c r="A4" s="3" t="inlineStr">
        <is>
          <t>Category</t>
        </is>
      </c>
      <c r="B4" s="3" t="inlineStr">
        <is>
          <t>Total (R$)</t>
        </is>
      </c>
      <c r="C4" s="3" t="inlineStr">
        <is>
          <t>% of Card</t>
        </is>
      </c>
      <c r="D4" s="3" t="inlineStr">
        <is>
          <t>Avg/Month</t>
        </is>
      </c>
      <c r="E4" s="3" t="inlineStr">
        <is>
          <t>Txs</t>
        </is>
      </c>
      <c r="F4" s="3" t="inlineStr">
        <is>
          <t>Classification</t>
        </is>
      </c>
    </row>
    <row r="5">
      <c r="A5" s="4" t="inlineStr">
        <is>
          <t>Viagem</t>
        </is>
      </c>
      <c r="B5" s="12" t="n">
        <v>9036.83</v>
      </c>
      <c r="C5" s="187" t="n">
        <v>0.2426</v>
      </c>
      <c r="D5" s="17" t="n">
        <v>1506.14</v>
      </c>
      <c r="E5" s="4" t="n">
        <v>1</v>
      </c>
      <c r="F5" s="4" t="inlineStr">
        <is>
          <t>💡 Discretionary</t>
        </is>
      </c>
    </row>
    <row r="6">
      <c r="A6" s="14" t="inlineStr">
        <is>
          <t>Compras/ML</t>
        </is>
      </c>
      <c r="B6" s="15" t="n">
        <v>8744.68</v>
      </c>
      <c r="C6" s="188" t="n">
        <v>0.2348</v>
      </c>
      <c r="D6" s="32" t="n">
        <v>1457.45</v>
      </c>
      <c r="E6" s="14" t="n">
        <v>9</v>
      </c>
      <c r="F6" s="14" t="inlineStr">
        <is>
          <t>💡 Discretionary</t>
        </is>
      </c>
    </row>
    <row r="7">
      <c r="A7" s="4" t="inlineStr">
        <is>
          <t>IA/Tecnologia</t>
        </is>
      </c>
      <c r="B7" s="12" t="n">
        <v>6624.36</v>
      </c>
      <c r="C7" s="187" t="n">
        <v>0.1779</v>
      </c>
      <c r="D7" s="17" t="n">
        <v>1104.06</v>
      </c>
      <c r="E7" s="4" t="n">
        <v>37</v>
      </c>
      <c r="F7" s="4" t="inlineStr">
        <is>
          <t>⚠ Review</t>
        </is>
      </c>
    </row>
    <row r="8">
      <c r="A8" s="14" t="inlineStr">
        <is>
          <t>Loteria</t>
        </is>
      </c>
      <c r="B8" s="15" t="n">
        <v>6455.1</v>
      </c>
      <c r="C8" s="188" t="n">
        <v>0.1733</v>
      </c>
      <c r="D8" s="32" t="n">
        <v>1075.85</v>
      </c>
      <c r="E8" s="14" t="n">
        <v>39</v>
      </c>
      <c r="F8" s="14" t="inlineStr">
        <is>
          <t>⚠ Review</t>
        </is>
      </c>
    </row>
    <row r="9">
      <c r="A9" s="4" t="inlineStr">
        <is>
          <t>Outros</t>
        </is>
      </c>
      <c r="B9" s="12" t="n">
        <v>2235.58</v>
      </c>
      <c r="C9" s="187" t="n">
        <v>0.06</v>
      </c>
      <c r="D9" s="17" t="n">
        <v>372.6</v>
      </c>
      <c r="E9" s="4" t="n">
        <v>9</v>
      </c>
      <c r="F9" s="4" t="inlineStr">
        <is>
          <t>❓ Unknown</t>
        </is>
      </c>
    </row>
    <row r="10">
      <c r="A10" s="14" t="inlineStr">
        <is>
          <t>Internet</t>
        </is>
      </c>
      <c r="B10" s="15" t="n">
        <v>1413.12</v>
      </c>
      <c r="C10" s="188" t="n">
        <v>0.0379</v>
      </c>
      <c r="D10" s="32" t="n">
        <v>235.52</v>
      </c>
      <c r="E10" s="14" t="n">
        <v>6</v>
      </c>
      <c r="F10" s="14" t="inlineStr">
        <is>
          <t>✅ Essential</t>
        </is>
      </c>
    </row>
    <row r="11">
      <c r="A11" s="4" t="inlineStr">
        <is>
          <t>Assinatura</t>
        </is>
      </c>
      <c r="B11" s="12" t="n">
        <v>1227.5</v>
      </c>
      <c r="C11" s="187" t="n">
        <v>0.033</v>
      </c>
      <c r="D11" s="17" t="n">
        <v>204.58</v>
      </c>
      <c r="E11" s="4" t="n">
        <v>19</v>
      </c>
      <c r="F11" s="4" t="inlineStr">
        <is>
          <t>💡 Discretionary</t>
        </is>
      </c>
    </row>
    <row r="12">
      <c r="A12" s="14" t="inlineStr">
        <is>
          <t>Delivery/iFood</t>
        </is>
      </c>
      <c r="B12" s="15" t="n">
        <v>1217.92</v>
      </c>
      <c r="C12" s="188" t="n">
        <v>0.0327</v>
      </c>
      <c r="D12" s="32" t="n">
        <v>202.99</v>
      </c>
      <c r="E12" s="14" t="n">
        <v>14</v>
      </c>
      <c r="F12" s="14" t="inlineStr">
        <is>
          <t>✅ Essential</t>
        </is>
      </c>
    </row>
    <row r="13">
      <c r="A13" s="4" t="inlineStr">
        <is>
          <t>Transporte</t>
        </is>
      </c>
      <c r="B13" s="12" t="n">
        <v>205.34</v>
      </c>
      <c r="C13" s="187" t="n">
        <v>0.0055</v>
      </c>
      <c r="D13" s="17" t="n">
        <v>34.22</v>
      </c>
      <c r="E13" s="4" t="n">
        <v>10</v>
      </c>
      <c r="F13" s="4" t="inlineStr">
        <is>
          <t>💡 Discretionary</t>
        </is>
      </c>
    </row>
    <row r="14">
      <c r="A14" s="14" t="inlineStr">
        <is>
          <t>Telecomunicações</t>
        </is>
      </c>
      <c r="B14" s="15" t="n">
        <v>74.43000000000001</v>
      </c>
      <c r="C14" s="188" t="n">
        <v>0.002</v>
      </c>
      <c r="D14" s="32" t="n">
        <v>12.41</v>
      </c>
      <c r="E14" s="14" t="n">
        <v>1</v>
      </c>
      <c r="F14" s="14" t="inlineStr">
        <is>
          <t>✅ Essential</t>
        </is>
      </c>
    </row>
    <row r="15">
      <c r="A15" s="4" t="inlineStr">
        <is>
          <t>Digital</t>
        </is>
      </c>
      <c r="B15" s="12" t="n">
        <v>10.9</v>
      </c>
      <c r="C15" s="187" t="n">
        <v>0.0003</v>
      </c>
      <c r="D15" s="17" t="n">
        <v>1.82</v>
      </c>
      <c r="E15" s="4" t="n">
        <v>1</v>
      </c>
      <c r="F15" s="4" t="inlineStr">
        <is>
          <t>❓ Unknown</t>
        </is>
      </c>
    </row>
    <row r="16">
      <c r="A16" s="8" t="inlineStr">
        <is>
          <t>TOTAL</t>
        </is>
      </c>
      <c r="B16" s="9">
        <f>SUM(B5:B15)</f>
        <v/>
      </c>
      <c r="E16" s="8">
        <f>SUM(E5:E15)</f>
        <v/>
      </c>
    </row>
    <row r="18">
      <c r="A18" s="10" t="inlineStr">
        <is>
          <t>◆ BY CLASSIFICATION</t>
        </is>
      </c>
    </row>
    <row r="19">
      <c r="A19" s="21" t="inlineStr">
        <is>
          <t>✅ Essential</t>
        </is>
      </c>
      <c r="B19" s="17">
        <f>SUMIFS(B5:B15,F5:F15,"✅ Essential")</f>
        <v/>
      </c>
      <c r="C19" s="187">
        <f>IFERROR(B19/B16,0)</f>
        <v/>
      </c>
    </row>
    <row r="20">
      <c r="A20" s="21" t="inlineStr">
        <is>
          <t>💡 Discretionary</t>
        </is>
      </c>
      <c r="B20" s="17">
        <f>SUMIFS(B5:B15,F5:F15,"💡 Discretionary")</f>
        <v/>
      </c>
      <c r="C20" s="187">
        <f>IFERROR(B20/B16,0)</f>
        <v/>
      </c>
    </row>
    <row r="21">
      <c r="A21" s="21" t="inlineStr">
        <is>
          <t>⚠ Review</t>
        </is>
      </c>
      <c r="B21" s="17">
        <f>SUMIFS(B5:B15,F5:F15,"⚠ Review")</f>
        <v/>
      </c>
      <c r="C21" s="187">
        <f>IFERROR(B21/B16,0)</f>
        <v/>
      </c>
    </row>
    <row r="22">
      <c r="A22" s="21" t="inlineStr">
        <is>
          <t>❓ Unknown</t>
        </is>
      </c>
      <c r="B22" s="17">
        <f>SUMIFS(B5:B15,F5:F15,"❓ Unknown")</f>
        <v/>
      </c>
      <c r="C22" s="187">
        <f>IFERROR(B22/B16,0)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6600"/>
    <outlinePr summaryBelow="1" summaryRight="1"/>
    <pageSetUpPr/>
  </sheetPr>
  <dimension ref="A1:G2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4" customWidth="1" min="1" max="1"/>
    <col width="10" customWidth="1" min="2" max="2"/>
    <col width="20" customWidth="1" min="3" max="3"/>
    <col width="55" customWidth="1" min="4" max="4"/>
    <col width="14" customWidth="1" min="5" max="5"/>
    <col width="50" customWidth="1" min="6" max="6"/>
    <col width="12" customWidth="1" min="7" max="7"/>
  </cols>
  <sheetData>
    <row r="1" ht="16" customHeight="1">
      <c r="A1" s="1" t="inlineStr">
        <is>
          <t>◆ ALERTS — Risk &amp; Action Register · Cross-Domain</t>
        </is>
      </c>
    </row>
    <row r="2">
      <c r="A2" s="2" t="inlineStr">
        <is>
          <t>Full alert register. Sources: finance, subscriptions, repos, projects. Update status as resolved.</t>
        </is>
      </c>
    </row>
    <row r="4">
      <c r="A4" s="3" t="inlineStr">
        <is>
          <t>#</t>
        </is>
      </c>
      <c r="B4" s="3" t="inlineStr">
        <is>
          <t>Severity</t>
        </is>
      </c>
      <c r="C4" s="3" t="inlineStr">
        <is>
          <t>Domain</t>
        </is>
      </c>
      <c r="D4" s="3" t="inlineStr">
        <is>
          <t>Finding</t>
        </is>
      </c>
      <c r="E4" s="3" t="inlineStr">
        <is>
          <t>BRL Exposure</t>
        </is>
      </c>
      <c r="F4" s="3" t="inlineStr">
        <is>
          <t>Recommended Action</t>
        </is>
      </c>
      <c r="G4" s="3" t="inlineStr">
        <is>
          <t>Status</t>
        </is>
      </c>
    </row>
    <row r="5">
      <c r="A5" s="4" t="n">
        <v>1</v>
      </c>
      <c r="B5" s="4" t="inlineStr">
        <is>
          <t>CRITICAL</t>
        </is>
      </c>
      <c r="C5" s="4" t="inlineStr">
        <is>
          <t>Subscriptions</t>
        </is>
      </c>
      <c r="D5" s="4" t="inlineStr">
        <is>
          <t>CANCEL queue: Claude x2 (R$184/mo) + Grok (R$149.90/mo) + TuneIn (R$31.90/mo) = R$365.80/mo</t>
        </is>
      </c>
      <c r="E5" s="17" t="n">
        <v>4389.6</v>
      </c>
      <c r="F5" s="7" t="inlineStr">
        <is>
          <t>Cancel all 4 before next billing. Apple Subscriptions + app accounts.</t>
        </is>
      </c>
      <c r="G5" s="20" t="inlineStr">
        <is>
          <t>Pending</t>
        </is>
      </c>
    </row>
    <row r="6">
      <c r="A6" s="4" t="n">
        <v>2</v>
      </c>
      <c r="B6" s="4" t="inlineStr">
        <is>
          <t>CRITICAL</t>
        </is>
      </c>
      <c r="C6" s="4" t="inlineStr">
        <is>
          <t>Sub Stack Bloat</t>
        </is>
      </c>
      <c r="D6" s="4" t="inlineStr">
        <is>
          <t>6 services in REVIEW. Annual exposure ~R$7,763. Manus credits uncontrolled.</t>
        </is>
      </c>
      <c r="E6" s="17" t="n">
        <v>7763.28</v>
      </c>
      <c r="F6" s="7" t="inlineStr">
        <is>
          <t>Audit each REVIEW service. Decide KEEP/CANCEL. Target: eliminate ≥3.</t>
        </is>
      </c>
      <c r="G6" s="20" t="inlineStr">
        <is>
          <t>Pending</t>
        </is>
      </c>
    </row>
    <row r="7">
      <c r="A7" s="14" t="n">
        <v>3</v>
      </c>
      <c r="B7" s="14" t="inlineStr">
        <is>
          <t>HIGH</t>
        </is>
      </c>
      <c r="C7" s="14" t="inlineStr">
        <is>
          <t>Liquidity</t>
        </is>
      </c>
      <c r="D7" s="14" t="inlineStr">
        <is>
          <t>100% liquid in 2 digital banks (Inter + MP = R$23,197). BB balance R$0. Below R$30k target.</t>
        </is>
      </c>
      <c r="E7" s="32" t="n">
        <v>23196.9</v>
      </c>
      <c r="F7" s="16" t="inlineStr">
        <is>
          <t>Maintain R$30k+ buffer. Distribute across BB Rende Fácil + Inter.</t>
        </is>
      </c>
      <c r="G7" s="20" t="inlineStr">
        <is>
          <t>Pending</t>
        </is>
      </c>
    </row>
    <row r="8">
      <c r="A8" s="4" t="n">
        <v>4</v>
      </c>
      <c r="B8" s="4" t="inlineStr">
        <is>
          <t>HIGH</t>
        </is>
      </c>
      <c r="C8" s="4" t="inlineStr">
        <is>
          <t>Lottery/Gambling</t>
        </is>
      </c>
      <c r="D8" s="4" t="inlineStr">
        <is>
          <t>R$6,455 Loteria on MP card (39 txs). No budget cap. Avg R$1,076/mo.</t>
        </is>
      </c>
      <c r="E8" s="17" t="n">
        <v>6455.1</v>
      </c>
      <c r="F8" s="7" t="inlineStr">
        <is>
          <t>Set monthly Loteria limit R$500. Remove card if exceeded.</t>
        </is>
      </c>
      <c r="G8" s="20" t="inlineStr">
        <is>
          <t>Pending</t>
        </is>
      </c>
    </row>
    <row r="9">
      <c r="A9" s="14" t="n">
        <v>5</v>
      </c>
      <c r="B9" s="14" t="inlineStr">
        <is>
          <t>MEDIUM</t>
        </is>
      </c>
      <c r="C9" s="14" t="inlineStr">
        <is>
          <t>AI/Tech Overlap</t>
        </is>
      </c>
      <c r="D9" s="14" t="inlineStr">
        <is>
          <t>R$6,624 via card on IA/Tech (37 txs). Likely duplicates subscription stack.</t>
        </is>
      </c>
      <c r="E9" s="32" t="n">
        <v>6624.36</v>
      </c>
      <c r="F9" s="16" t="inlineStr">
        <is>
          <t>Cross-match card IA charges vs sub list. Consolidate billing method.</t>
        </is>
      </c>
      <c r="G9" s="20" t="inlineStr">
        <is>
          <t>Pending</t>
        </is>
      </c>
    </row>
    <row r="10">
      <c r="A10" s="4" t="n">
        <v>6</v>
      </c>
      <c r="B10" s="4" t="inlineStr">
        <is>
          <t>MEDIUM</t>
        </is>
      </c>
      <c r="C10" s="4" t="inlineStr">
        <is>
          <t>Travel/Viagem</t>
        </is>
      </c>
      <c r="D10" s="4" t="inlineStr">
        <is>
          <t>R$9,037 travel charges (LAN Airlines Mar/2026). Business vs personal unclassified.</t>
        </is>
      </c>
      <c r="E10" s="17" t="n">
        <v>9036.83</v>
      </c>
      <c r="F10" s="7" t="inlineStr">
        <is>
          <t>Classify: business vs personal. Flag deductible items.</t>
        </is>
      </c>
      <c r="G10" s="20" t="inlineStr">
        <is>
          <t>Pending</t>
        </is>
      </c>
    </row>
    <row r="11">
      <c r="A11" s="14" t="n">
        <v>7</v>
      </c>
      <c r="B11" s="14" t="inlineStr">
        <is>
          <t>MEDIUM</t>
        </is>
      </c>
      <c r="C11" s="14" t="inlineStr">
        <is>
          <t>ML Volume</t>
        </is>
      </c>
      <c r="D11" s="14" t="inlineStr">
        <is>
          <t>R$31,570 Mercado Livre purchases. Strong Home Office + CPAP pattern. No tags.</t>
        </is>
      </c>
      <c r="E11" s="32" t="n">
        <v>31570.45</v>
      </c>
      <c r="F11" s="16" t="inlineStr">
        <is>
          <t>Tag each purchase: CAPEX / HEALTH / CONSUMABLE for tax tracking.</t>
        </is>
      </c>
      <c r="G11" s="20" t="inlineStr">
        <is>
          <t>Pending</t>
        </is>
      </c>
    </row>
    <row r="12"/>
    <row r="13"/>
    <row r="14"/>
    <row r="15"/>
    <row r="16"/>
    <row r="18">
      <c r="A18" s="10" t="inlineStr">
        <is>
          <t>◆ COUNTS</t>
        </is>
      </c>
      <c r="C18" s="33" t="inlineStr">
        <is>
          <t>Total</t>
        </is>
      </c>
      <c r="D18" s="33" t="inlineStr">
        <is>
          <t>Pending</t>
        </is>
      </c>
    </row>
    <row r="19">
      <c r="B19" s="4" t="inlineStr">
        <is>
          <t>CRITICAL</t>
        </is>
      </c>
      <c r="C19" s="33">
        <f>COUNTIF(B5:B16,"CRITICAL")</f>
        <v/>
      </c>
      <c r="D19" s="4">
        <f>COUNTIFS(B5:B16,"CRITICAL",G5:G16,"Pending")</f>
        <v/>
      </c>
    </row>
    <row r="20">
      <c r="B20" s="4" t="inlineStr">
        <is>
          <t>HIGH</t>
        </is>
      </c>
      <c r="C20" s="4">
        <f>COUNTIF(B5:B16,"HIGH")</f>
        <v/>
      </c>
      <c r="D20" s="4">
        <f>COUNTIFS(B5:B16,"HIGH",G5:G16,"Pending")</f>
        <v/>
      </c>
    </row>
    <row r="21">
      <c r="B21" s="4" t="inlineStr">
        <is>
          <t>MEDIUM</t>
        </is>
      </c>
      <c r="C21" s="4">
        <f>COUNTIF(B5:B16,"MEDIUM")</f>
        <v/>
      </c>
      <c r="D21" s="4">
        <f>COUNTIFS(B5:B16,"MEDIUM",G5:G16,"Pending")</f>
        <v/>
      </c>
    </row>
    <row r="22">
      <c r="B22" s="4" t="inlineStr">
        <is>
          <t>LOW</t>
        </is>
      </c>
      <c r="C22" s="4">
        <f>COUNTIF(B5:B16,"LOW")</f>
        <v/>
      </c>
      <c r="D22" s="4">
        <f>COUNTIFS(B5:B16,"LOW",G5:G16,"Pending")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2026-08-31T11:53:19Z</dcterms:created>
  <dcterms:modified xmlns:dcterms="http://purl.org/dc/terms/" xmlns:xsi="http://www.w3.org/2001/XMLSchema-instance" xsi:type="dcterms:W3CDTF">2026-09-10T22:08:11Z</dcterms:modified>
  <cp:lastModifiedBy>eduardo giovannini</cp:lastModifiedBy>
  <cp:revision>0</cp:revision>
</cp:coreProperties>
</file>