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giovannini.eduardogmail.com/Documents/GitHub/Personal_Finance/data/"/>
    </mc:Choice>
  </mc:AlternateContent>
  <xr:revisionPtr revIDLastSave="0" documentId="13_ncr:1_{A305D8FD-5D89-AB4F-A548-2B429AEFA9BF}" xr6:coauthVersionLast="47" xr6:coauthVersionMax="47" xr10:uidLastSave="{00000000-0000-0000-0000-000000000000}"/>
  <bookViews>
    <workbookView xWindow="44800" yWindow="620" windowWidth="51200" windowHeight="20980" activeTab="6" xr2:uid="{00000000-000D-0000-FFFF-FFFF00000000}"/>
  </bookViews>
  <sheets>
    <sheet name="00 COMMAND CENTER" sheetId="1" r:id="rId1"/>
    <sheet name="CALC" sheetId="2" r:id="rId2"/>
    <sheet name="02 CAPITAL FLOWS" sheetId="3" r:id="rId3"/>
    <sheet name="05 LIFESTYLE" sheetId="4" r:id="rId4"/>
    <sheet name="06 SUBSCRIPTION MGR" sheetId="5" r:id="rId5"/>
    <sheet name="07 CASH BRIDGE" sheetId="6" r:id="rId6"/>
    <sheet name="08 ALERTS" sheetId="7" r:id="rId7"/>
    <sheet name="_DATA" sheetId="8" state="hidden" r:id="rId8"/>
    <sheet name="09 CHARTS" sheetId="9" r:id="rId9"/>
  </sheets>
  <definedNames>
    <definedName name="_xlnm._FilterDatabase" localSheetId="2" hidden="1">'02 CAPITAL FLOWS'!$B$14:$I$221</definedName>
    <definedName name="_xlnm._FilterDatabase" localSheetId="3" hidden="1">'05 LIFESTYLE'!$B$33:$G$102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E9" i="3"/>
  <c r="E8" i="3"/>
  <c r="E7" i="3"/>
  <c r="E6" i="3"/>
  <c r="E5" i="3"/>
  <c r="F561" i="2"/>
  <c r="F560" i="2"/>
  <c r="F559" i="2"/>
  <c r="F558" i="2"/>
  <c r="F557" i="2"/>
  <c r="F556" i="2"/>
  <c r="F555" i="2"/>
  <c r="F554" i="2"/>
  <c r="F553" i="2"/>
  <c r="F552" i="2"/>
  <c r="F551" i="2"/>
  <c r="C355" i="2"/>
  <c r="C354" i="2"/>
  <c r="C352" i="2"/>
  <c r="B320" i="2"/>
  <c r="G281" i="2"/>
  <c r="F281" i="2"/>
  <c r="H281" i="2" s="1"/>
  <c r="D281" i="2"/>
  <c r="C281" i="2"/>
  <c r="F279" i="2"/>
  <c r="H279" i="2" s="1"/>
  <c r="D279" i="2"/>
  <c r="C279" i="2"/>
  <c r="F275" i="2"/>
  <c r="D275" i="2"/>
  <c r="C275" i="2"/>
  <c r="H234" i="2"/>
  <c r="F234" i="2"/>
  <c r="G234" i="2" s="1"/>
  <c r="E234" i="2"/>
  <c r="H232" i="2"/>
  <c r="G232" i="2"/>
  <c r="F232" i="2"/>
  <c r="E232" i="2"/>
  <c r="F227" i="2"/>
  <c r="D227" i="2"/>
  <c r="C227" i="2"/>
  <c r="F184" i="2"/>
  <c r="F183" i="2"/>
  <c r="F182" i="2"/>
  <c r="F181" i="2"/>
  <c r="F180" i="2"/>
  <c r="F179" i="2"/>
  <c r="C175" i="2"/>
  <c r="E175" i="2" s="1"/>
  <c r="J6" i="1" s="1"/>
  <c r="C174" i="2"/>
  <c r="E174" i="2" s="1"/>
  <c r="E173" i="2"/>
  <c r="C173" i="2"/>
  <c r="C171" i="2"/>
  <c r="E171" i="2" s="1"/>
  <c r="C170" i="2"/>
  <c r="E170" i="2" s="1"/>
  <c r="B14" i="1" s="1"/>
  <c r="C162" i="2"/>
  <c r="E162" i="2" s="1"/>
  <c r="D6" i="1" s="1"/>
  <c r="C10" i="2"/>
  <c r="K18" i="1"/>
  <c r="J18" i="1"/>
  <c r="G18" i="1"/>
  <c r="F18" i="1"/>
  <c r="C18" i="1"/>
  <c r="B18" i="1"/>
  <c r="G279" i="2" l="1"/>
</calcChain>
</file>

<file path=xl/sharedStrings.xml><?xml version="1.0" encoding="utf-8"?>
<sst xmlns="http://schemas.openxmlformats.org/spreadsheetml/2006/main" count="2457" uniqueCount="808">
  <si>
    <t>◆  LIQUIDITY</t>
  </si>
  <si>
    <t>TOTAL LIQUID</t>
  </si>
  <si>
    <t>CANCEL SAV/YR</t>
  </si>
  <si>
    <t>◆  LIFESTYLE &amp; SUBSCRIPTION STACK</t>
  </si>
  <si>
    <t>CARD SPEND H1</t>
  </si>
  <si>
    <t>CARD AVG/MO</t>
  </si>
  <si>
    <t>SUB STACK/MO</t>
  </si>
  <si>
    <t>CANCEL SAV/MO</t>
  </si>
  <si>
    <t>◆  MoM SIGNALS (Jun vs May 2026) — ▲=good ▼=bad (inverted for costs)</t>
  </si>
  <si>
    <t>Card Spend</t>
  </si>
  <si>
    <t>PIX Out</t>
  </si>
  <si>
    <t>Sub Stack</t>
  </si>
  <si>
    <t>◆  PRIORITY ACTIONS — live from 08 ALERTS</t>
  </si>
  <si>
    <t>#</t>
  </si>
  <si>
    <t>SEV</t>
  </si>
  <si>
    <t>DOMAIN</t>
  </si>
  <si>
    <t>FINDING</t>
  </si>
  <si>
    <t>EXPOSURE</t>
  </si>
  <si>
    <t>STATUS</t>
  </si>
  <si>
    <t>Severity</t>
  </si>
  <si>
    <t>Domain</t>
  </si>
  <si>
    <t>Finding</t>
  </si>
  <si>
    <t>BRL Exposure</t>
  </si>
  <si>
    <t>Status</t>
  </si>
  <si>
    <t>1</t>
  </si>
  <si>
    <t>CRITICAL</t>
  </si>
  <si>
    <t>Subscriptions</t>
  </si>
  <si>
    <t>4 services flagged CANCEL: Claude x2 (0/mo), Grok (R$14…</t>
  </si>
  <si>
    <t>—</t>
  </si>
  <si>
    <t>⏳ Pending</t>
  </si>
  <si>
    <t>2</t>
  </si>
  <si>
    <t>Subscription Stack Bloat</t>
  </si>
  <si>
    <t>R$0/mo in REVIEW = 3 services undecided. Annual exposur…</t>
  </si>
  <si>
    <t>3</t>
  </si>
  <si>
    <t>HIGH</t>
  </si>
  <si>
    <t>Liquidity Concentration</t>
  </si>
  <si>
    <t>100% of liquid assets in 2 digital banks (Inter + MP = …</t>
  </si>
  <si>
    <t>4</t>
  </si>
  <si>
    <t>Lottery/Gambling Spend</t>
  </si>
  <si>
    <t>R$6,455 in Loteria charges on MP card 2026. No budget c…</t>
  </si>
  <si>
    <t>5</t>
  </si>
  <si>
    <t>MEDIUM</t>
  </si>
  <si>
    <t>AI/Tech Card Overlap</t>
  </si>
  <si>
    <t>R$6,624 charged via card on IA/Tech. Likely duplicates …</t>
  </si>
  <si>
    <t>6</t>
  </si>
  <si>
    <t>Travel/Viagem Spend</t>
  </si>
  <si>
    <t>R$9,037 in travel charges. Review vs business vs person…</t>
  </si>
  <si>
    <t>7</t>
  </si>
  <si>
    <t>ML Compras Volume</t>
  </si>
  <si>
    <t>R$31,570 in Mercado Livre purchases (69 items). Strong …</t>
  </si>
  <si>
    <t>KPI tiles live → CALC: Total Liquid · Cancel Sav/Yr · Card Spend H1 · MoM arrows: 3 · Alerts: 08 ALERTS · Scope: domestic outflows only (updated 2026-09-10)</t>
  </si>
  <si>
    <t>CALC — Single Source of Truth · financas-2026 · Eduardo Forster Giovannini</t>
  </si>
  <si>
    <t>Built 2026-07-14 · All values sourced from financas2026-DataEntry.xlsx · Scope cut 2026-09-10: domestic outflows only (foreign, inflows, net worth removed; cleared in place)</t>
  </si>
  <si>
    <t>SECTION 1 · BANK BALANCES — Confirmed 13/Jul/2026</t>
  </si>
  <si>
    <t>Institution</t>
  </si>
  <si>
    <t>Balance (BRL)</t>
  </si>
  <si>
    <t>Prev Balance</t>
  </si>
  <si>
    <t>Type</t>
  </si>
  <si>
    <t>Confirmed</t>
  </si>
  <si>
    <t>Banco Inter</t>
  </si>
  <si>
    <t>Digital</t>
  </si>
  <si>
    <t>13/Jul/2026</t>
  </si>
  <si>
    <t>CONFIRMED</t>
  </si>
  <si>
    <t>Mercado Pago</t>
  </si>
  <si>
    <t>12/Jul/2026</t>
  </si>
  <si>
    <t>BB Brasil</t>
  </si>
  <si>
    <t>Checking</t>
  </si>
  <si>
    <t>BCB Registrato</t>
  </si>
  <si>
    <t>Registry</t>
  </si>
  <si>
    <t>29/Jun/2026</t>
  </si>
  <si>
    <t>REGISTRY</t>
  </si>
  <si>
    <t>SECTION 2 · FX OPERATIONS — REMOVED 2026-09-10 (out of scope: foreign / inflows)</t>
  </si>
  <si>
    <t>SECTION 3 · MP FATURAS MONTHLY SUMMARY — 146 Transactions</t>
  </si>
  <si>
    <t>Month</t>
  </si>
  <si>
    <t>Card Spend (R$)</t>
  </si>
  <si>
    <t>Transactions</t>
  </si>
  <si>
    <t>vs Avg</t>
  </si>
  <si>
    <t>Cum Total</t>
  </si>
  <si>
    <t>2026-01</t>
  </si>
  <si>
    <t>2026-02</t>
  </si>
  <si>
    <t>2026-03</t>
  </si>
  <si>
    <t>2026-04</t>
  </si>
  <si>
    <t>2026-05</t>
  </si>
  <si>
    <t>2026-06</t>
  </si>
  <si>
    <t>TOTAL H1 2026</t>
  </si>
  <si>
    <t>SECTION 3b · MoM CHANGES — Most Recent Month First</t>
  </si>
  <si>
    <t>Spend</t>
  </si>
  <si>
    <t>Prev Month Spend</t>
  </si>
  <si>
    <t>MoM %</t>
  </si>
  <si>
    <t>Direction</t>
  </si>
  <si>
    <t>↓</t>
  </si>
  <si>
    <t>↑</t>
  </si>
  <si>
    <t>SECTION 4 · SPEND BY CATEGORY — Sorted Largest to Smallest</t>
  </si>
  <si>
    <t>Category</t>
  </si>
  <si>
    <t>Total (R$)</t>
  </si>
  <si>
    <t>% of Total</t>
  </si>
  <si>
    <t>Avg/Month</t>
  </si>
  <si>
    <t>Classification</t>
  </si>
  <si>
    <t>Viagem</t>
  </si>
  <si>
    <t>💡 Discretionary</t>
  </si>
  <si>
    <t>Compras/ML</t>
  </si>
  <si>
    <t>IA/Tecnologia</t>
  </si>
  <si>
    <t>⚠ Review</t>
  </si>
  <si>
    <t>Loteria</t>
  </si>
  <si>
    <t>Outros</t>
  </si>
  <si>
    <t>❓ Unknown</t>
  </si>
  <si>
    <t>Internet</t>
  </si>
  <si>
    <t>✅ Essential</t>
  </si>
  <si>
    <t>Assinatura</t>
  </si>
  <si>
    <t>Delivery/iFood</t>
  </si>
  <si>
    <t>Transporte</t>
  </si>
  <si>
    <t>Telecomunicações</t>
  </si>
  <si>
    <t>SECTION 5 · SUBSCRIPTION STACK — 15 Services · Decision Analysis</t>
  </si>
  <si>
    <t>Service</t>
  </si>
  <si>
    <t>Plan</t>
  </si>
  <si>
    <t>Monthly BRL</t>
  </si>
  <si>
    <t>Dup Risk</t>
  </si>
  <si>
    <t>Decision</t>
  </si>
  <si>
    <t>Annual BRL</t>
  </si>
  <si>
    <t>Action</t>
  </si>
  <si>
    <t>Claude</t>
  </si>
  <si>
    <t>Pro</t>
  </si>
  <si>
    <t>AI - General/Coding</t>
  </si>
  <si>
    <t>CANCEL</t>
  </si>
  <si>
    <t>Cancel immediately</t>
  </si>
  <si>
    <t>ChatGPT</t>
  </si>
  <si>
    <t>Plus</t>
  </si>
  <si>
    <t>AI - General Assistant</t>
  </si>
  <si>
    <t>KEEP</t>
  </si>
  <si>
    <t>Keep — monitor</t>
  </si>
  <si>
    <t>Google</t>
  </si>
  <si>
    <t>AI - General/Workspace</t>
  </si>
  <si>
    <t>REVIEW</t>
  </si>
  <si>
    <t>Decide by Aug 2026</t>
  </si>
  <si>
    <t>Manus</t>
  </si>
  <si>
    <t>Unknown / credits</t>
  </si>
  <si>
    <t>AI - Agent/Credits</t>
  </si>
  <si>
    <t>UNKNOWN</t>
  </si>
  <si>
    <t>Cursor</t>
  </si>
  <si>
    <t>AI - Coding Assistant</t>
  </si>
  <si>
    <t>Desktop Commander</t>
  </si>
  <si>
    <t>Unlimited</t>
  </si>
  <si>
    <t>AI - Desktop Automation</t>
  </si>
  <si>
    <t>Filmora9</t>
  </si>
  <si>
    <t>Annual Subscription</t>
  </si>
  <si>
    <t>Creative/Productivity</t>
  </si>
  <si>
    <t>LOW</t>
  </si>
  <si>
    <t>Grok</t>
  </si>
  <si>
    <t>SuperGrok</t>
  </si>
  <si>
    <t>AI - General/Media</t>
  </si>
  <si>
    <t>iCloud+</t>
  </si>
  <si>
    <t>200 GB storage</t>
  </si>
  <si>
    <t>Cloud/Storage</t>
  </si>
  <si>
    <t>Microsoft 365 Personal</t>
  </si>
  <si>
    <t>Personal</t>
  </si>
  <si>
    <t>Productivity/Cloud</t>
  </si>
  <si>
    <t>NordVPN</t>
  </si>
  <si>
    <t>Auto-renewable Subscription</t>
  </si>
  <si>
    <t>Security/VPN</t>
  </si>
  <si>
    <t>Perplexity</t>
  </si>
  <si>
    <t>Perplexity Pro for Mac</t>
  </si>
  <si>
    <t>AI - Research Assistant</t>
  </si>
  <si>
    <t>TuneIn Radio</t>
  </si>
  <si>
    <t>TuneIn Premium</t>
  </si>
  <si>
    <t>Entertainment</t>
  </si>
  <si>
    <t>DECISION SUMMARY</t>
  </si>
  <si>
    <t>CANCEL SAVINGS/MONTH</t>
  </si>
  <si>
    <t>SECTION 6 · KPI Master Cells (feed dashboard tiles)</t>
  </si>
  <si>
    <t>KPI Name</t>
  </si>
  <si>
    <t>Raw Value</t>
  </si>
  <si>
    <t>Format Code</t>
  </si>
  <si>
    <t>Display Value</t>
  </si>
  <si>
    <t>Unit</t>
  </si>
  <si>
    <t>Source</t>
  </si>
  <si>
    <t>"R$ "#,##0.00</t>
  </si>
  <si>
    <t>R$ 23,196.90</t>
  </si>
  <si>
    <t>BRL</t>
  </si>
  <si>
    <t>Banks confirmed</t>
  </si>
  <si>
    <t>R$ 37,245.76</t>
  </si>
  <si>
    <t>MP Faturas 146 tx</t>
  </si>
  <si>
    <t>CARD SPEND AVG/MO</t>
  </si>
  <si>
    <t>R$ 6,207.63</t>
  </si>
  <si>
    <t>Card Spend / 6 months</t>
  </si>
  <si>
    <t>R$ 1,344.54</t>
  </si>
  <si>
    <t>Subscriptions 15 services</t>
  </si>
  <si>
    <t>CANCEL SAVINGS/MO</t>
  </si>
  <si>
    <t>R$ 365.80</t>
  </si>
  <si>
    <t>CANCEL decision services</t>
  </si>
  <si>
    <t>CANCEL SAVINGS/YR</t>
  </si>
  <si>
    <t>R$ 4,389.60</t>
  </si>
  <si>
    <t>Monthly × 12</t>
  </si>
  <si>
    <t>KPI ROW REFERENCE MAP — use these row numbers to build dashboard text box links</t>
  </si>
  <si>
    <t>TOTAL LIQUID  →  CALC!C123  |  Display: CALC!E123</t>
  </si>
  <si>
    <t>CARD SPEND H1  →  CALC!C131  |  Display: CALC!E131</t>
  </si>
  <si>
    <t>CARD SPEND AVG/MO  →  CALC!C132  |  Display: CALC!E132</t>
  </si>
  <si>
    <t>SUB STACK/MO  →  CALC!C133  |  Display: CALC!E133</t>
  </si>
  <si>
    <t>CANCEL SAVINGS/MO  →  CALC!C134  |  Display: CALC!E134</t>
  </si>
  <si>
    <t>CANCEL SAVINGS/YR  →  CALC!C135  |  Display: CALC!E135</t>
  </si>
  <si>
    <t>STEP 2 · DISPLAY LAYER — TEXT() formatted KPIs · Feed these cells directly into dashboard text boxes</t>
  </si>
  <si>
    <t>Pattern: raw value in col C, format code in col D, TEXT(C,D) formula in col E → col E feeds dashboard text boxes</t>
  </si>
  <si>
    <t>Raw Value Cell</t>
  </si>
  <si>
    <t>TEXT() Display Formula</t>
  </si>
  <si>
    <t>Dashboard Label</t>
  </si>
  <si>
    <t>Color</t>
  </si>
  <si>
    <t>Total Liquidity</t>
  </si>
  <si>
    <t>yellow</t>
  </si>
  <si>
    <t>Card Spend H1</t>
  </si>
  <si>
    <t>red</t>
  </si>
  <si>
    <t>CARD SPEND AVG MO</t>
  </si>
  <si>
    <t>Card Avg / Month</t>
  </si>
  <si>
    <t>SUB STACK MO</t>
  </si>
  <si>
    <t>Sub Stack / Month</t>
  </si>
  <si>
    <t>CANCEL SAVINGS MO</t>
  </si>
  <si>
    <t>Cancel Savings / Mo</t>
  </si>
  <si>
    <t>green</t>
  </si>
  <si>
    <t>CANCEL SAVINGS YR</t>
  </si>
  <si>
    <t>Cancel Savings / Yr</t>
  </si>
  <si>
    <t>STEP 2b · MoM CHANGE DISPLAY — Most Recent First · Reverse-sorted so row 1 = latest month always</t>
  </si>
  <si>
    <t>Month (newest first)</t>
  </si>
  <si>
    <t>Prev Month</t>
  </si>
  <si>
    <t>MoM Raw %</t>
  </si>
  <si>
    <t>MoM TEXT()</t>
  </si>
  <si>
    <t>Arrow</t>
  </si>
  <si>
    <t>Signal</t>
  </si>
  <si>
    <t>▼</t>
  </si>
  <si>
    <t>LOWER</t>
  </si>
  <si>
    <t>▲</t>
  </si>
  <si>
    <t>HIGHER</t>
  </si>
  <si>
    <t>STEP 2 REFERENCE — Paste these addresses into dashboard text boxes</t>
  </si>
  <si>
    <t>HOW TO USE: Select any text box on the dashboard → click formula bar → type = → navigate to the cell below</t>
  </si>
  <si>
    <t>Example: select KPI tile text box, type =CALC!E{row_number} → press Enter → tile shows live formatted value</t>
  </si>
  <si>
    <t>To change number format: edit column D (format code) in this sheet → all linked text boxes update instantly</t>
  </si>
  <si>
    <t>KEY DISPLAY CELLS (column E = TEXT() formatted, ready for text boxes):</t>
  </si>
  <si>
    <t xml:space="preserve">  Total Liquidity                 →  CALC!E162</t>
  </si>
  <si>
    <t xml:space="preserve">  Card Spend H1                   →  CALC!E170</t>
  </si>
  <si>
    <t xml:space="preserve">  Card Avg / Month                →  CALC!E171</t>
  </si>
  <si>
    <t xml:space="preserve">  Sub Stack / Month               →  CALC!E173</t>
  </si>
  <si>
    <t xml:space="preserve">  Cancel Savings / Mo             →  CALC!E174</t>
  </si>
  <si>
    <t xml:space="preserve">  Cancel Savings / Yr             →  CALC!E175</t>
  </si>
  <si>
    <t>MoM DISPLAY CELLS (col F = TEXT formatted %):</t>
  </si>
  <si>
    <t xml:space="preserve">  2026-06  MoM%  →  CALC!F179  |  Arrow  →  CALC!G179</t>
  </si>
  <si>
    <t xml:space="preserve">  2026-05  MoM%  →  CALC!F180  |  Arrow  →  CALC!G180</t>
  </si>
  <si>
    <t xml:space="preserve">  2026-04  MoM%  →  CALC!F181  |  Arrow  →  CALC!G181</t>
  </si>
  <si>
    <t xml:space="preserve">  2026-03  MoM%  →  CALC!F182  |  Arrow  →  CALC!G182</t>
  </si>
  <si>
    <t xml:space="preserve">  2026-02  MoM%  →  CALC!F183  |  Arrow  →  CALC!G183</t>
  </si>
  <si>
    <t xml:space="preserve">  2026-01  MoM%  →  CALC!F184  |  Arrow  →  CALC!G184</t>
  </si>
  <si>
    <t>STEP 3 · REVERSE-SORTED MONTHLY TABLE — newest month always = row 1 · MoM formulas reference fixed offsets, never break on new data</t>
  </si>
  <si>
    <t>Row 1 = most recent month. MoM% always = (Row1-Row2)/Row2. Add July data → table grows → formulas stay correct automatically.</t>
  </si>
  <si>
    <t>Card Txs</t>
  </si>
  <si>
    <t>STEP 3b · MoM CHANGE FORMULAS — row 1 vs row 2 (never needs updating)</t>
  </si>
  <si>
    <t>These formulas always reference table_data_start and table_data_start+1. When you add a new month and refresh, MoM auto-updates.</t>
  </si>
  <si>
    <t>Metric</t>
  </si>
  <si>
    <t>This Month Cell</t>
  </si>
  <si>
    <t>Last Month Cell</t>
  </si>
  <si>
    <t>MoM Raw Formula</t>
  </si>
  <si>
    <t>TEXT() Display</t>
  </si>
  <si>
    <t>C221</t>
  </si>
  <si>
    <t>C222</t>
  </si>
  <si>
    <t>F221</t>
  </si>
  <si>
    <t>F222</t>
  </si>
  <si>
    <t>STEP 3c · CUMULATIVE RUNNING TOTALS — for trend charts</t>
  </si>
  <si>
    <t>Cum Card Spend</t>
  </si>
  <si>
    <t>STEP 3 REFERENCE — Key cell addresses for charts and dashboard:</t>
  </si>
  <si>
    <t>Monthly table data:   CALC!B221:K226  (newest first)</t>
  </si>
  <si>
    <t>Most recent month:    CALC!B221  |  Card: CALC!C221</t>
  </si>
  <si>
    <t>Previous month:       CALC!B222  |  Card: CALC!C222</t>
  </si>
  <si>
    <t>Totals row:           CALC!B227:K227</t>
  </si>
  <si>
    <t>MoM display cells (feed into dashboard text boxes):</t>
  </si>
  <si>
    <t xml:space="preserve">  Card Spend            MoM% → CALC!F232  display → CALC!G232  arrow → CALC!H232</t>
  </si>
  <si>
    <t xml:space="preserve">  PIX Out               MoM% → CALC!F234  display → CALC!G234  arrow → CALC!H234</t>
  </si>
  <si>
    <t>STEP 3 (FIXED) · REVERSE-SORTED MONTHLY TABLE — MP Faturas + Inter PIX Out (foreign / inflows removed 2026-09-10)</t>
  </si>
  <si>
    <t>Newest month = row 1 always. MoM = (row1 − row2) / row2. Add new month → append → formulas never change.</t>
  </si>
  <si>
    <t>STEP 3b · MoM CHANGE FORMULAS — row offsets, never need updating</t>
  </si>
  <si>
    <t>This Month</t>
  </si>
  <si>
    <t>MoM% Raw</t>
  </si>
  <si>
    <t>TEXT Display</t>
  </si>
  <si>
    <t>STEP 3 REFERENCE ADDRESSES</t>
  </si>
  <si>
    <t>Monthly table (newest first): B269:K274</t>
  </si>
  <si>
    <t>Most recent month:  B269   Card: C269   PIX Out: F269</t>
  </si>
  <si>
    <t>Previous month:     B270   Card: C270   PIX Out: F270</t>
  </si>
  <si>
    <t>Totals row:         B275:K275</t>
  </si>
  <si>
    <t>MoM display cells (→ paste into dashboard text boxes):</t>
  </si>
  <si>
    <t xml:space="preserve">  Card Spend      → display: CALC!G279  arrow: CALC!H279</t>
  </si>
  <si>
    <t xml:space="preserve">  PIX Out         → display: CALC!G281  arrow: CALC!H281</t>
  </si>
  <si>
    <t>STEP 4 · SLICER HARVESTING TABLES — dynamic filter detection for dashboard interactivity</t>
  </si>
  <si>
    <t>Pattern: each filter option listed with its aggregate value. Dashboard data-validation dropdowns point to these lists. CHOOSE(COUNTA(selected_range), name, 'Multiple', 'All') → filter label.</t>
  </si>
  <si>
    <t>4A · CATEGORY FILTER — 10 MP Fatura categories</t>
  </si>
  <si>
    <t>Total Spend</t>
  </si>
  <si>
    <t>Txs</t>
  </si>
  <si>
    <t>Avg/Tx</t>
  </si>
  <si>
    <t>4B · INSTITUTION FILTER — REMOVED 2026-09-10 (out of scope: foreign / inflows)</t>
  </si>
  <si>
    <t>4C · PERIOD FILTER — Month selector for dashboard</t>
  </si>
  <si>
    <t>% of H1</t>
  </si>
  <si>
    <t>Cumulative</t>
  </si>
  <si>
    <t>Label</t>
  </si>
  <si>
    <t>January 2026</t>
  </si>
  <si>
    <t>February 2026</t>
  </si>
  <si>
    <t>March 2026</t>
  </si>
  <si>
    <t>April 2026</t>
  </si>
  <si>
    <t>May 2026</t>
  </si>
  <si>
    <t>June 2026</t>
  </si>
  <si>
    <t>4D · SUBSCRIPTION DECISION FILTER — KEEP / CANCEL / REVIEW</t>
  </si>
  <si>
    <t>Service Count</t>
  </si>
  <si>
    <t>Cancel before next billing</t>
  </si>
  <si>
    <t>Maintain — monitor quarterly</t>
  </si>
  <si>
    <t>4E · DYNAMIC LABEL FORMULAS — these feed dashboard header text boxes</t>
  </si>
  <si>
    <t>How to use: create a Data Validation dropdown on the dashboard pointing to the list above → link this formula to show active filter name.</t>
  </si>
  <si>
    <t>Label Name</t>
  </si>
  <si>
    <t>Formula (paste into dashboard cell)</t>
  </si>
  <si>
    <t>Usage Note</t>
  </si>
  <si>
    <t>Category Label</t>
  </si>
  <si>
    <t>Use when 1 category selected</t>
  </si>
  <si>
    <t>Period Label</t>
  </si>
  <si>
    <t>Use when 1 month selected</t>
  </si>
  <si>
    <t>Active Filters Summary</t>
  </si>
  <si>
    <t>Concatenate active filter labels</t>
  </si>
  <si>
    <t>STEP 4 REFERENCE — Addresses for dashboard wiring</t>
  </si>
  <si>
    <t>Category list:     B308:B318  (for Data Validation source)</t>
  </si>
  <si>
    <t>Period list:       B334:B339  (for Data Validation source)</t>
  </si>
  <si>
    <t>Category totals:   C308:C318  (feed SUMIF / INDEX-MATCH)</t>
  </si>
  <si>
    <t>WIRING STEPS:</t>
  </si>
  <si>
    <t>1. On dashboard: Insert → Data Validation → List → source = CALC!B{cat_list_start}:B{cat_list_end}</t>
  </si>
  <si>
    <t>2. Link the dropdown cell to a named cell e.g. 'selected_category'</t>
  </si>
  <si>
    <t>3. Use SUMIF(category_col, selected_category, value_col) in CALC for filtered totals</t>
  </si>
  <si>
    <t>4. Wire the filtered total TEXT() cell into the dashboard text box</t>
  </si>
  <si>
    <t>STEP 5 · SORT/FILTER RANKED TABLES — all sources, largest first</t>
  </si>
  <si>
    <t>Pre-sorted tables replicate SORT(range,col,-1). In Excel 365 these can be live formulas.</t>
  </si>
  <si>
    <t>5A · TOP 20 MERCHANTS BY SPEND</t>
  </si>
  <si>
    <t>Rank</t>
  </si>
  <si>
    <t>Merchant</t>
  </si>
  <si>
    <t>% Total</t>
  </si>
  <si>
    <t>Compra internacional em LAN AIRLINE</t>
  </si>
  <si>
    <t>MERCADOLIVRE*3PRODUTOS</t>
  </si>
  <si>
    <t>Compra internacional em MANUS AI</t>
  </si>
  <si>
    <t>Compra internacional em CLAUDE.AI S</t>
  </si>
  <si>
    <t>Compra internacional em OPENAI *CHA</t>
  </si>
  <si>
    <t>STARLINK INTERNET</t>
  </si>
  <si>
    <t>Compra internacional em WWW.PERPLEX</t>
  </si>
  <si>
    <t>Compra internacional em OPENAI* CHA</t>
  </si>
  <si>
    <t>Compra internacional em RAYCAST.COM</t>
  </si>
  <si>
    <t>MICROSOFT*STORE</t>
  </si>
  <si>
    <t>MERCADOLIVRE*MERCADOLIVRE</t>
  </si>
  <si>
    <t>Compra internacional em ALLIANZ EVE</t>
  </si>
  <si>
    <t>MERCADOLIVRE*7PRODUTOS</t>
  </si>
  <si>
    <t>MP*LOTERIASONLINEDVRW</t>
  </si>
  <si>
    <t>MP*LOTERIASONLINE72W6</t>
  </si>
  <si>
    <t xml:space="preserve">Compra internacional em CURSOR, AI </t>
  </si>
  <si>
    <t>APPLECOMBILL</t>
  </si>
  <si>
    <t>APPLE.COM/BILL</t>
  </si>
  <si>
    <t>Compra internacional em DESKTOP COM</t>
  </si>
  <si>
    <t>DL*GOOGLE YouTub</t>
  </si>
  <si>
    <t>5B · TOP 15 FX OPERATIONS — REMOVED 2026-09-10 (out of scope: foreign / inflows)</t>
  </si>
  <si>
    <t>5C · SUBSCRIPTIONS RANKED BY MONTHLY COST</t>
  </si>
  <si>
    <t>Annual</t>
  </si>
  <si>
    <t>Risk</t>
  </si>
  <si>
    <t>5D · TOP PIX OUT MOVEMENTS BY AMOUNT (inflows, câmbio and excluded PIX removed 2026-09-10)</t>
  </si>
  <si>
    <t>Date</t>
  </si>
  <si>
    <t>Description</t>
  </si>
  <si>
    <t>Amount</t>
  </si>
  <si>
    <t>2026-05-18</t>
  </si>
  <si>
    <t>Eduardo Giovannini</t>
  </si>
  <si>
    <t>2026-04-24</t>
  </si>
  <si>
    <t xml:space="preserve">37202818 Jose Periclis De Sousa Da </t>
  </si>
  <si>
    <t>2026-03-15</t>
  </si>
  <si>
    <t>Eduardo Forster Giovannini</t>
  </si>
  <si>
    <t>Mercado Pago Instituicao De Pagamen</t>
  </si>
  <si>
    <t>2026-04-21</t>
  </si>
  <si>
    <t>5E · TOP 15 ML + iFOOD ORDERS BY VALUE</t>
  </si>
  <si>
    <t>Platform</t>
  </si>
  <si>
    <t>Item</t>
  </si>
  <si>
    <t>Value</t>
  </si>
  <si>
    <t>2026-02-27</t>
  </si>
  <si>
    <t>Mercado Livre</t>
  </si>
  <si>
    <t>Monitor Gamer Aoc Agon 49 Curvo 144hz</t>
  </si>
  <si>
    <t>Eletrônicos</t>
  </si>
  <si>
    <t>delivered</t>
  </si>
  <si>
    <t>2026-03-16</t>
  </si>
  <si>
    <t>Cpap Portátil Resmed Airmini Automático</t>
  </si>
  <si>
    <t>Saúde/CPAP</t>
  </si>
  <si>
    <t>2026-02-XX</t>
  </si>
  <si>
    <t>Cpap Portátil Resmed Airmini (não entreg</t>
  </si>
  <si>
    <t>failed</t>
  </si>
  <si>
    <t>2026-02-19</t>
  </si>
  <si>
    <t>Processador De Vídeo Novastar Vc2 Painel</t>
  </si>
  <si>
    <t>2026-02-18</t>
  </si>
  <si>
    <t>Mouse Sem Fio Logitech Mx Master 4 Hapti</t>
  </si>
  <si>
    <t>2026-02-21</t>
  </si>
  <si>
    <t>Escova De Dente Elétrica Oral B Io Serie</t>
  </si>
  <si>
    <t>Saúde/Higiene</t>
  </si>
  <si>
    <t>2026-03-12</t>
  </si>
  <si>
    <t>Tênis Hoka Mach 6 Masculino Azul Jeans</t>
  </si>
  <si>
    <t>Vestuário</t>
  </si>
  <si>
    <t>2026-03-29</t>
  </si>
  <si>
    <t>Lavadora De Alta Pressão Wap Premier 260</t>
  </si>
  <si>
    <t>Casa</t>
  </si>
  <si>
    <t>2026-03-XX</t>
  </si>
  <si>
    <t>4 produtos Mercado Livre</t>
  </si>
  <si>
    <t>Cancelado</t>
  </si>
  <si>
    <t>cancelled</t>
  </si>
  <si>
    <t>2026-03-23</t>
  </si>
  <si>
    <t>Máquina De Gelo Turbo Ice Premium Mondia</t>
  </si>
  <si>
    <t>Eletrodomésticos</t>
  </si>
  <si>
    <t>Chinelo Hoka One One Ora Athletic Slide</t>
  </si>
  <si>
    <t>2026-03-10</t>
  </si>
  <si>
    <t>Lanterna De Mergulho F9 Inton Alto Desem</t>
  </si>
  <si>
    <t>Esportes</t>
  </si>
  <si>
    <t>2026-02-17</t>
  </si>
  <si>
    <t>Hoto Mini Aspirador De Pó Portátil Sem F</t>
  </si>
  <si>
    <t>2026-02-12</t>
  </si>
  <si>
    <t>Máscara Nasal Airfit P30i P M G Resmed</t>
  </si>
  <si>
    <t>2026-06-03</t>
  </si>
  <si>
    <t>Máscara Nasal Resmed Airfit N30i Apneia</t>
  </si>
  <si>
    <t>STEP 5 REFERENCE — cell ranges for charts and dashboard</t>
  </si>
  <si>
    <t>5A Merchants:  B377:H396  — col E=spend, col D=category, col H=pct</t>
  </si>
  <si>
    <t>5C Subs:       B420:I434  — col E=monthly, col I=decision filter</t>
  </si>
  <si>
    <t>5D PIX:        B439:F443  —  PIX Out only</t>
  </si>
  <si>
    <t>5E ML/iFood:   B458:H472  — col F=value, col G=category</t>
  </si>
  <si>
    <t>STEP 6 · ICON SET CF PREP — MoM signals, KPI health, subscription risk flags</t>
  </si>
  <si>
    <t>Pattern: duplicate the MoM% cell → one shows % text, one shows icon only. CF rule: &gt;=0 → green ▲, &lt;0 → red ▼.</t>
  </si>
  <si>
    <t>6A · MoM SIGNAL TABLE — icon (col C) + text (col D) pairs</t>
  </si>
  <si>
    <t>Signal Icon</t>
  </si>
  <si>
    <t>MoM % Text</t>
  </si>
  <si>
    <t>Inverted?</t>
  </si>
  <si>
    <t>-66.3%</t>
  </si>
  <si>
    <t>YES</t>
  </si>
  <si>
    <t>Down=good: spending less</t>
  </si>
  <si>
    <t>-98.0%</t>
  </si>
  <si>
    <t>Down=good: less outflow</t>
  </si>
  <si>
    <t>+0.0%</t>
  </si>
  <si>
    <t>Down=good: cancel working</t>
  </si>
  <si>
    <t>6B · KPI HEALTH SCORES — threshold-based traffic light</t>
  </si>
  <si>
    <t>KPI</t>
  </si>
  <si>
    <t>Current</t>
  </si>
  <si>
    <t>Target</t>
  </si>
  <si>
    <t>vs Target</t>
  </si>
  <si>
    <t>Health</t>
  </si>
  <si>
    <t>Liquidity Buffer</t>
  </si>
  <si>
    <t>RED ❌</t>
  </si>
  <si>
    <t>Higher is better</t>
  </si>
  <si>
    <t>Cancel Savings/yr</t>
  </si>
  <si>
    <t>GREEN ✅</t>
  </si>
  <si>
    <t>Lower is better</t>
  </si>
  <si>
    <t>Card Spend Avg/mo</t>
  </si>
  <si>
    <t>Sub Stack/mo</t>
  </si>
  <si>
    <t>STEP 7 · BUBBLE CHART DATA — Institution comparison (X, Y, Size, Label, HighlightSize)</t>
  </si>
  <si>
    <t>Select one institution via Data Validation dropdown. HighlightSize = Size only when selected, else 0. Chart: add 2 series — gray (all) + blue (selected).</t>
  </si>
  <si>
    <t>7A · INSTITUTION BUBBLE DATA — REMOVED 2026-09-10 (out of scope: foreign / inflows)</t>
  </si>
  <si>
    <t>7B · CATEGORY BUBBLE DATA — card spend comparison</t>
  </si>
  <si>
    <t>X</t>
  </si>
  <si>
    <t>Y</t>
  </si>
  <si>
    <t>HighlightSize</t>
  </si>
  <si>
    <t>STEP 8 · NAMED FORMULA MAPS — dynamic lookup tables for institution/category routing</t>
  </si>
  <si>
    <t>Pattern: INDEX(logo_range, MATCH(B{r}, name_list, 0)) → linked picture updates when sort order changes.</t>
  </si>
  <si>
    <t>8A · INSTITUTION SORT MAP — REMOVED 2026-09-10 (out of scope: foreign / inflows)</t>
  </si>
  <si>
    <t>8B · CATEGORY RANK MAP — sorted by spend</t>
  </si>
  <si>
    <t>Class</t>
  </si>
  <si>
    <t>Named Formula Ref</t>
  </si>
  <si>
    <t>💡 Discr.</t>
  </si>
  <si>
    <t>❓</t>
  </si>
  <si>
    <t>✅ Ess.</t>
  </si>
  <si>
    <t>STEP 9 · SPARKLINE HISTORY DATA — subscription billing + monthly card spend trend</t>
  </si>
  <si>
    <t>Win/Loss pattern: 1=billed/active, 0=cancelled/gap. Line sparkline: monthly spend values. Select a row range → Insert → Sparklines → Win/Loss or Line.</t>
  </si>
  <si>
    <t>9A · SUBSCRIPTION BILLING HISTORY (Jan–Jun 2026)</t>
  </si>
  <si>
    <t>Jan</t>
  </si>
  <si>
    <t>Feb</t>
  </si>
  <si>
    <t>Mar</t>
  </si>
  <si>
    <t>Apr</t>
  </si>
  <si>
    <t>May</t>
  </si>
  <si>
    <t>Jun</t>
  </si>
  <si>
    <t>Total Mo</t>
  </si>
  <si>
    <t>9B · MONTHLY CARD SPEND TREND (Jan–Jun 2026) — for line sparkline</t>
  </si>
  <si>
    <t>Trend</t>
  </si>
  <si>
    <t>MoM Latest</t>
  </si>
  <si>
    <t>Cum Spend</t>
  </si>
  <si>
    <t>STEP 10 · COMMAND CENTER WIRING MAP — every dashboard tile → exact CALC source cell</t>
  </si>
  <si>
    <t>How to wire: select the text box / cell on the dashboard → click formula bar → type = → click the source cell below → Enter.</t>
  </si>
  <si>
    <t>10A · KPI TILES — LIQUIDITY / SPEND CLUSTER</t>
  </si>
  <si>
    <t>Tile Name</t>
  </si>
  <si>
    <t>Raw CALC Cell</t>
  </si>
  <si>
    <t>Display CALC Cell</t>
  </si>
  <si>
    <t>Dashboard Sheet Cell</t>
  </si>
  <si>
    <t>CALC!C123</t>
  </si>
  <si>
    <t>CALC!E162</t>
  </si>
  <si>
    <t>00 COMMAND CENTER D5</t>
  </si>
  <si>
    <t>CALC!C131</t>
  </si>
  <si>
    <t>CALC!E170</t>
  </si>
  <si>
    <t>00 COMMAND CENTER H7</t>
  </si>
  <si>
    <t>Card Avg/Month</t>
  </si>
  <si>
    <t>CALC!C132</t>
  </si>
  <si>
    <t>CALC!E171</t>
  </si>
  <si>
    <t>00 COMMAND CENTER B9</t>
  </si>
  <si>
    <t>Sub Stack/Month</t>
  </si>
  <si>
    <t>CALC!C133</t>
  </si>
  <si>
    <t>CALC!E173</t>
  </si>
  <si>
    <t>00 COMMAND CENTER F9</t>
  </si>
  <si>
    <t>Cancel Savings/Mo</t>
  </si>
  <si>
    <t>CALC!C134</t>
  </si>
  <si>
    <t>CALC!E174</t>
  </si>
  <si>
    <t>00 COMMAND CENTER H9</t>
  </si>
  <si>
    <t>Cancel Savings/Yr</t>
  </si>
  <si>
    <t>CALC!C135</t>
  </si>
  <si>
    <t>CALC!E175</t>
  </si>
  <si>
    <t>00 COMMAND CENTER B11</t>
  </si>
  <si>
    <t>10B · MoM ARROWS — wire into dashboard alongside KPI tiles</t>
  </si>
  <si>
    <t>Icon Cell</t>
  </si>
  <si>
    <t>Text Cell</t>
  </si>
  <si>
    <t>Raw% Cell</t>
  </si>
  <si>
    <t>Notes</t>
  </si>
  <si>
    <t>Card Spend MoM</t>
  </si>
  <si>
    <t>CALC!C488</t>
  </si>
  <si>
    <t>CALC!D488</t>
  </si>
  <si>
    <t>CALC!E488</t>
  </si>
  <si>
    <t>INVERTED: ↓ = good</t>
  </si>
  <si>
    <t>Sub Stack MoM</t>
  </si>
  <si>
    <t>CALC!C493</t>
  </si>
  <si>
    <t>CALC!D493</t>
  </si>
  <si>
    <t>CALC!E493</t>
  </si>
  <si>
    <t>10C · CHART DATA SOURCE ADDRESSES</t>
  </si>
  <si>
    <t>Chart</t>
  </si>
  <si>
    <t>Data Range</t>
  </si>
  <si>
    <t>Monthly card spend line chart</t>
  </si>
  <si>
    <t>CALC!B269:C274</t>
  </si>
  <si>
    <t>X=month, Y=card spend, descending</t>
  </si>
  <si>
    <t>Category bar chart</t>
  </si>
  <si>
    <t>CALC!B308:C318</t>
  </si>
  <si>
    <t>X=category label, Y=total spend</t>
  </si>
  <si>
    <t>Category bubble chart</t>
  </si>
  <si>
    <t>CALC!B523:I533</t>
  </si>
  <si>
    <t>X/Y/Size from cols C/D/E</t>
  </si>
  <si>
    <t>Subscription cost bar</t>
  </si>
  <si>
    <t>CALC!B420:F434</t>
  </si>
  <si>
    <t>X=service, Y=monthly BRL</t>
  </si>
  <si>
    <t>Sub billing sparkline (win/loss)</t>
  </si>
  <si>
    <t>CALC!B569:J583</t>
  </si>
  <si>
    <t>cols C:H = Jan–Jun 0/1</t>
  </si>
  <si>
    <t>Card spend sparkline (line)</t>
  </si>
  <si>
    <t>CALC!B587:H589</t>
  </si>
  <si>
    <t>cols C:H = Jan–Jun values</t>
  </si>
  <si>
    <t>MoM signal table</t>
  </si>
  <si>
    <t>CALC!B488:G494</t>
  </si>
  <si>
    <t>cols C=icon, D=text</t>
  </si>
  <si>
    <t>KPI health table</t>
  </si>
  <si>
    <t>CALC!B499:G505</t>
  </si>
  <si>
    <t>cols C=current, F=health</t>
  </si>
  <si>
    <t xml:space="preserve">  OUTFLOWS  ·  Jan–Jun 2026  ·  Card + PIX Out (domestic)</t>
  </si>
  <si>
    <t xml:space="preserve">  MONTHLY OUTFLOW SUMMARY</t>
  </si>
  <si>
    <t>Total Out</t>
  </si>
  <si>
    <t xml:space="preserve">  TRANSACTION LOG  —  Outflows (Card + PIX Out)</t>
  </si>
  <si>
    <t>BRL Amount</t>
  </si>
  <si>
    <t>CCY</t>
  </si>
  <si>
    <t>MP Cartão</t>
  </si>
  <si>
    <t>IFD*PIZZA NOW INTERMARES</t>
  </si>
  <si>
    <t>Fatura 2026-02</t>
  </si>
  <si>
    <t>Compra internacional em OPENAI *CHATGPT SUBSCR</t>
  </si>
  <si>
    <t>IFD*34531468 EDWIN LEI</t>
  </si>
  <si>
    <t>MP*EDUARDOGIOVAN</t>
  </si>
  <si>
    <t>DL*Starlink Braz</t>
  </si>
  <si>
    <t>MP*LOTERIASONLINEU1AQ</t>
  </si>
  <si>
    <t>IFD*FORMAGGIO RESTAURANTE</t>
  </si>
  <si>
    <t>MP*LOTERIASONLINE542V</t>
  </si>
  <si>
    <t>Compra internacional em LEMSQZY* PINEAPPLE-APP</t>
  </si>
  <si>
    <t>Compra internacional em CLAUDE.AI SUBSCRIPTION</t>
  </si>
  <si>
    <t>Compra internacional em DESKTOP COMMANDER</t>
  </si>
  <si>
    <t>MP*LOTERIASONLINEM4UQ</t>
  </si>
  <si>
    <t>MP*LOTERIASONLINEYY48</t>
  </si>
  <si>
    <t>Fatura 2026-03</t>
  </si>
  <si>
    <t>MP*LOTERIASONLINEBFN5</t>
  </si>
  <si>
    <t>Compra internacional em ANTHROPIC</t>
  </si>
  <si>
    <t>MP*LOTERIASONLINEO4M4</t>
  </si>
  <si>
    <t>MP*LOTERIASONLINEOBUG</t>
  </si>
  <si>
    <t>DL *Starlink Brazil</t>
  </si>
  <si>
    <t>MP*LOTERIASONLINEFEG2</t>
  </si>
  <si>
    <t>MP*LOTERIASONLINEU2WR</t>
  </si>
  <si>
    <t>MP*LOTERIASONLINEQXFX</t>
  </si>
  <si>
    <t>MP*LOTERIASONLINEEIG7</t>
  </si>
  <si>
    <t>MP*LOTERIASONLINEI4Q9</t>
  </si>
  <si>
    <t>MP*LOTERIASONLINEYYRE</t>
  </si>
  <si>
    <t>MP*LOTERIASONLINEFL2P</t>
  </si>
  <si>
    <t>Fatura 2026-04</t>
  </si>
  <si>
    <t>MP*LOTERIASONLINEQPEZ</t>
  </si>
  <si>
    <t>MP*LOTERIASONLINEQTKS</t>
  </si>
  <si>
    <t>Compra internacional em GITHUB, INC.</t>
  </si>
  <si>
    <t>Compra internacional em GUMROAD* GUI RAMBO</t>
  </si>
  <si>
    <t>Compra internacional em OPENROUTER, INC</t>
  </si>
  <si>
    <t>IFD*iFood</t>
  </si>
  <si>
    <t>MP*LOTERIASONLINEP6LJ</t>
  </si>
  <si>
    <t>MP*LOTERIASONLINEPA19</t>
  </si>
  <si>
    <t>MP*LOTERIASONLINEJSZ1</t>
  </si>
  <si>
    <t>MP*LOTERIASONLINEJX1C</t>
  </si>
  <si>
    <t>Mercado Pago Instituicao De Pagamento Ltda</t>
  </si>
  <si>
    <t>Compra internacional em ALLIANZ EVENT INS</t>
  </si>
  <si>
    <t>Iago Kevyn Santos Moura</t>
  </si>
  <si>
    <t>MP*LOTERIASONLINENI9I</t>
  </si>
  <si>
    <t>Compra internacional em INTERNET ARCHIVE</t>
  </si>
  <si>
    <t>MP*LOTERIASONLINEU38A</t>
  </si>
  <si>
    <t>EC*GOOGLEBRASILPAGAMEN</t>
  </si>
  <si>
    <t>Eduardo Silva Dos Santos</t>
  </si>
  <si>
    <t>MERCADOLIVRE*5PRODUTOS</t>
  </si>
  <si>
    <t>MP*LOTERIASONLINE12Q6</t>
  </si>
  <si>
    <t>MP*LOTERIASONLINEWM4R</t>
  </si>
  <si>
    <t>MP*LOTERIASONLINEKBE8</t>
  </si>
  <si>
    <t>MP*LOTERIASONLINEKJOW</t>
  </si>
  <si>
    <t>Compra internacional em GROK XAI</t>
  </si>
  <si>
    <t>Compra internacional em CURSOR, AI POWERED IDE</t>
  </si>
  <si>
    <t>IFD*MATTERELLO PIZZARI</t>
  </si>
  <si>
    <t>MP*LOTERIASONLINE9CYW</t>
  </si>
  <si>
    <t>Fatura 2026-05</t>
  </si>
  <si>
    <t>MP*LOTERIASONLINE2FE1</t>
  </si>
  <si>
    <t>MP*LOTERIASONLINE34H0</t>
  </si>
  <si>
    <t>MERCADOLIVRE*MERCADOLI</t>
  </si>
  <si>
    <t>IFD*JURASSIC PIZZA BES</t>
  </si>
  <si>
    <t>MERCADOLIVRE*PKFLEXLTDA</t>
  </si>
  <si>
    <t>Compra internacional em CLOUDFLARE</t>
  </si>
  <si>
    <t>UBER * PENDING</t>
  </si>
  <si>
    <t>APPLE.COM/BILL.</t>
  </si>
  <si>
    <t>37202818 Jose Periclis De Sousa Da Costa</t>
  </si>
  <si>
    <t>MP*LOTERIASONLINEN7GJ</t>
  </si>
  <si>
    <t>Compra internacional em WWW.PERPLEXITY.AI</t>
  </si>
  <si>
    <t>MERCADOLIVRE*LINA</t>
  </si>
  <si>
    <t>IFD*BIANCA DOS SANTOS</t>
  </si>
  <si>
    <t>Gloria Raquel M C Nobrega</t>
  </si>
  <si>
    <t>Mag Administracao De Negocios Ltda</t>
  </si>
  <si>
    <t>Compra internacional em OPENAI* CHATGPT CREDIT</t>
  </si>
  <si>
    <t>Fatura 2026-06</t>
  </si>
  <si>
    <t>MP*LOTERIASONLINEJOSJ</t>
  </si>
  <si>
    <t>MP*LOTERIASONLINEDB7Z</t>
  </si>
  <si>
    <t>IFD*34.531.468 EDWIN LEIB</t>
  </si>
  <si>
    <t>MP*LOTERIASONLINE281Q</t>
  </si>
  <si>
    <t>IFD*PIPA SUSHI E TEMAK</t>
  </si>
  <si>
    <t>MP*LOTERIASONLINEAPI5</t>
  </si>
  <si>
    <t>MP*LOTERIASONLINEPXMF</t>
  </si>
  <si>
    <t>Lucas Rique Chaves Bezerra</t>
  </si>
  <si>
    <t>Moacir Jose De Morais Filho</t>
  </si>
  <si>
    <t>MP*LOTERIASONLINEJEPS</t>
  </si>
  <si>
    <t>DL*UberRides</t>
  </si>
  <si>
    <t>CONTA VIVO</t>
  </si>
  <si>
    <t>MP*LOTERIASONLINESPC2</t>
  </si>
  <si>
    <t xml:space="preserve">  LIFESTYLE &amp; BURN RATE  ·  Card + ML + iFood  ·  Jan–Jun 2026</t>
  </si>
  <si>
    <t>CARD SPEND</t>
  </si>
  <si>
    <t>AVG/MONTH</t>
  </si>
  <si>
    <t>ML+iFOOD</t>
  </si>
  <si>
    <t xml:space="preserve">  CARD SPEND BY CATEGORY</t>
  </si>
  <si>
    <t>% of Card</t>
  </si>
  <si>
    <t xml:space="preserve">  MONTHLY CARD SPEND</t>
  </si>
  <si>
    <t>vs Prior</t>
  </si>
  <si>
    <t xml:space="preserve">  MERCADO LIVRE + iFOOD ORDERS</t>
  </si>
  <si>
    <t>2026-06-16</t>
  </si>
  <si>
    <t>Suporte Monitor Articulado Portátil Dobrável</t>
  </si>
  <si>
    <t>Home Office</t>
  </si>
  <si>
    <t>2026-06-08</t>
  </si>
  <si>
    <t>Filtro De Ar Descartável Cpap Airmini Resmed</t>
  </si>
  <si>
    <t>2026-06-01</t>
  </si>
  <si>
    <t>Macaco Hidráulico Tipo Jacaré 2ton Portátil</t>
  </si>
  <si>
    <t>Ferramentas</t>
  </si>
  <si>
    <t>2026-05-30</t>
  </si>
  <si>
    <t>iFood</t>
  </si>
  <si>
    <t>Pipa Sushi &amp; Temakeria – 1x Monte Seu Poke</t>
  </si>
  <si>
    <t>Delivery/Sushi</t>
  </si>
  <si>
    <t>2026-05-16</t>
  </si>
  <si>
    <t>Maria Baunilha Confeitaria – 1x Trio Maria Baunilha</t>
  </si>
  <si>
    <t>Delivery/Confeitaria</t>
  </si>
  <si>
    <t>2026-05-11</t>
  </si>
  <si>
    <t>Câmera Inteligente Im7 3mp De Resolução</t>
  </si>
  <si>
    <t>iFood (taxa/pedido) – -</t>
  </si>
  <si>
    <t>Delivery/Taxa</t>
  </si>
  <si>
    <t>2026-05-09</t>
  </si>
  <si>
    <t>Sensor Presença Humana Radar Inteligente</t>
  </si>
  <si>
    <t>2026-05-03</t>
  </si>
  <si>
    <t>Prateleira Estilo Industrial Suporte Em Madeira</t>
  </si>
  <si>
    <t>2026-05-02</t>
  </si>
  <si>
    <t>Bianca Tolêdo Confeitaria – 1x Cake Moça e Morango + 1x Cake Cenoura</t>
  </si>
  <si>
    <t>2026-04-29</t>
  </si>
  <si>
    <t>Relógio Parede Digital Grande Calendário</t>
  </si>
  <si>
    <t>2026-04-27</t>
  </si>
  <si>
    <t>Álcool Isopropílico Quimivida 1l 99,8%</t>
  </si>
  <si>
    <t>Higiene</t>
  </si>
  <si>
    <t>Bianca Tolêdo Confeitaria – 1x Promoção: 2 Cake in box</t>
  </si>
  <si>
    <t>2026-04-22</t>
  </si>
  <si>
    <t>Organizador De Fios E Cabos Baixo Mesa</t>
  </si>
  <si>
    <t>2026-04-20</t>
  </si>
  <si>
    <t>Jurassic Pizza - Bessa – 1x Combo 1 - Pizza G + Refri 1l</t>
  </si>
  <si>
    <t>Delivery/Pizza</t>
  </si>
  <si>
    <t>2026-04-17</t>
  </si>
  <si>
    <t>Kit Teste Ouro Pedra De Toque + Ácido 22k</t>
  </si>
  <si>
    <t>2026-04-16</t>
  </si>
  <si>
    <t>For I 2 Dispositivo De Ronco Elétrico</t>
  </si>
  <si>
    <t>2026-04-12</t>
  </si>
  <si>
    <t>Bravecto 4,5 A 10 Kg Antipulgas</t>
  </si>
  <si>
    <t>Pet</t>
  </si>
  <si>
    <t>2026-04-05</t>
  </si>
  <si>
    <t>Antipulgas Bravecto Original De 20 A 40 Kg</t>
  </si>
  <si>
    <t>2026-04-03</t>
  </si>
  <si>
    <t>Matterello Pizza – 2x M (8 FATIAS) 2 SABORES</t>
  </si>
  <si>
    <t>2026-03-30</t>
  </si>
  <si>
    <t>Vittak Defletor Ar Condicionado Split</t>
  </si>
  <si>
    <t>Traqueia Cpap Pvc Cinza 22mm X 1,80m</t>
  </si>
  <si>
    <t>Lavadora De Alta Pressão Wap Premier 2600</t>
  </si>
  <si>
    <t>2026-03-28</t>
  </si>
  <si>
    <t>Water Cooler Argb 240mm Pwm Para Cpu</t>
  </si>
  <si>
    <t>2026-03-27</t>
  </si>
  <si>
    <t>Tapete Protetor De Piso Cadeira Gamer</t>
  </si>
  <si>
    <t>2026-03-25</t>
  </si>
  <si>
    <t>Electrolux Filtro/refil De Água Acqua Pure</t>
  </si>
  <si>
    <t>Luminária Led 3d De Mesa Logo Personalizada</t>
  </si>
  <si>
    <t>2026-03-24</t>
  </si>
  <si>
    <t>Filtro De Café 51mm Não Pressurizado Inox</t>
  </si>
  <si>
    <t>Máquina De Gelo Turbo Ice Premium Mondial</t>
  </si>
  <si>
    <t>2026-03-22</t>
  </si>
  <si>
    <t>Relógio Digital Mesa Led Wooden Clock</t>
  </si>
  <si>
    <t>Desk Pad Mouse Pad 90x40 Extra Grande</t>
  </si>
  <si>
    <t>2026-03-20</t>
  </si>
  <si>
    <t>Traqueia Para Air Mini Tubing Resmed 38822</t>
  </si>
  <si>
    <t>2026-03-18</t>
  </si>
  <si>
    <t>Umidificador Resmed Humidx Plus Para Cpap</t>
  </si>
  <si>
    <t>Capa Tv Televisão 32–75 Polegadas</t>
  </si>
  <si>
    <t>Melhor Pegboard Setup Gamer Home Office</t>
  </si>
  <si>
    <t>Organizador De Cabos E Fios 5 Metros</t>
  </si>
  <si>
    <t>Luminária Barra Led Mesa Duas Cabeças</t>
  </si>
  <si>
    <t>Bolsa Organizadora De Cabo Fio Eletrônico</t>
  </si>
  <si>
    <t>Organizador De Gavetas Escritório Maxcril</t>
  </si>
  <si>
    <t>2026-03-13</t>
  </si>
  <si>
    <t>Mousepad Grande Programação AtalhosPhy</t>
  </si>
  <si>
    <t>Teclas Avulsas Teclado Magic Keyboard Apple</t>
  </si>
  <si>
    <t>Lanterna De Mergulho F9 Inton Alto Desempenho</t>
  </si>
  <si>
    <t>Filtro De Café De Aço Inoxidável 1 Copo 51mm</t>
  </si>
  <si>
    <t>2026-03-09</t>
  </si>
  <si>
    <t>Kit 4 Dilatador Nasal Espiral Anti Ronco</t>
  </si>
  <si>
    <t>Dilatador Nasal Magnético Reduza O Ronco</t>
  </si>
  <si>
    <t>Vermelho Gradiente Pbt Duas Cores Teclado</t>
  </si>
  <si>
    <t>2026-03-06</t>
  </si>
  <si>
    <t>Cápsula Nespresso Inox Reutilizável + Tampe</t>
  </si>
  <si>
    <t>2026-03-03</t>
  </si>
  <si>
    <t>Dona Branca – 1x Pizza grande 8 fatias + Guaraná 1l</t>
  </si>
  <si>
    <t>Cpap Portátil Resmed Airmini (não entregue)</t>
  </si>
  <si>
    <t>2026-02-25</t>
  </si>
  <si>
    <t>Teclado Programável De 8 Teclas Multifuncio</t>
  </si>
  <si>
    <t>Escova De Dente Elétrica Oral B Io Series 6</t>
  </si>
  <si>
    <t>Processador De Vídeo Novastar Vc2 Painel D</t>
  </si>
  <si>
    <t>Mouse Sem Fio Logitech Mx Master 4 Haptic</t>
  </si>
  <si>
    <t>Aspirador De Pó Portátil Bateria 18v</t>
  </si>
  <si>
    <t>Hoto Mini Aspirador De Pó Portátil Sem Fio</t>
  </si>
  <si>
    <t>2026-01-28</t>
  </si>
  <si>
    <t>Maria Baunilha Confeitaria – 2x Copo da Felicidade</t>
  </si>
  <si>
    <t>2026-01-16</t>
  </si>
  <si>
    <t>Formaggio 43 - Forneria – 2x Pizza grande - até 02 sabores</t>
  </si>
  <si>
    <t>2026-01-10</t>
  </si>
  <si>
    <t>Maria Baunilha Confeitaria – 4x Copo da Felicidade</t>
  </si>
  <si>
    <t>2026-01-06</t>
  </si>
  <si>
    <t>Pizza Now Intermares – Pizza</t>
  </si>
  <si>
    <t>2026-01-03</t>
  </si>
  <si>
    <t>Kit Odontológico Inox De Limpeza Removedor</t>
  </si>
  <si>
    <t>Kit Cabo+espelho Odontológico Inox</t>
  </si>
  <si>
    <t xml:space="preserve">  SUBSCRIPTION MANAGER  ·  Stack Audit  ·  KEEP / CANCEL / REVIEW</t>
  </si>
  <si>
    <t>TOTAL/MONTH</t>
  </si>
  <si>
    <t>KEEP/MONTH</t>
  </si>
  <si>
    <t>CANCEL SAVINGS</t>
  </si>
  <si>
    <t>CANCEL / YEAR</t>
  </si>
  <si>
    <t xml:space="preserve">  FULL SUBSCRIPTION REGISTER</t>
  </si>
  <si>
    <t>Mthly BRL</t>
  </si>
  <si>
    <t>Direct AI</t>
  </si>
  <si>
    <t>automacao.giovannini@gmail.com</t>
  </si>
  <si>
    <t>92</t>
  </si>
  <si>
    <t>cadastros.online1979@gmail.com</t>
  </si>
  <si>
    <t>giovannini.eduardo@gmail.com</t>
  </si>
  <si>
    <t>106</t>
  </si>
  <si>
    <t>96.99</t>
  </si>
  <si>
    <t>cadastro.giovannini@gmail.com</t>
  </si>
  <si>
    <t>418.43</t>
  </si>
  <si>
    <t>45.37</t>
  </si>
  <si>
    <t>Apple</t>
  </si>
  <si>
    <t>Unknown</t>
  </si>
  <si>
    <t>15.40833333333333</t>
  </si>
  <si>
    <t>149.9</t>
  </si>
  <si>
    <t>19.9</t>
  </si>
  <si>
    <t>42.41666666666666</t>
  </si>
  <si>
    <t>28.325</t>
  </si>
  <si>
    <t>99.9</t>
  </si>
  <si>
    <t>31.9</t>
  </si>
  <si>
    <t>KEEP TOTAL/MONTH</t>
  </si>
  <si>
    <t>REVIEW TOTAL/MONTH</t>
  </si>
  <si>
    <t xml:space="preserve">  DECISION SUMMARY</t>
  </si>
  <si>
    <t>KEEP/month</t>
  </si>
  <si>
    <t>CANCEL/month</t>
  </si>
  <si>
    <t>REVIEW/month</t>
  </si>
  <si>
    <t>TOTAL/month</t>
  </si>
  <si>
    <t xml:space="preserve">  CASH BRIDGE  ·  Banco Inter Account 6627102  ·  PIX Out (domestic)</t>
  </si>
  <si>
    <t>PIX OUT</t>
  </si>
  <si>
    <t>FINAL BALANCE</t>
  </si>
  <si>
    <t xml:space="preserve">  MOVEMENT LOG — PIX Out</t>
  </si>
  <si>
    <t>IOF (R$)</t>
  </si>
  <si>
    <t xml:space="preserve">  RISK &amp; ACTION REGISTER  ·  Wealth Management  ·  Q3 2026</t>
  </si>
  <si>
    <t>Recommended Action</t>
  </si>
  <si>
    <t>4 services flagged CANCEL: Claude x2 (0/mo), Grok (R$149.90/mo), TuneIn (R$31.90/mo). Total savings: R$0/mo · R$0/yr</t>
  </si>
  <si>
    <t>Cancel all 4 before next billing cycle. Verify via Apple Subscriptions + app accounts</t>
  </si>
  <si>
    <t>R$0/mo in REVIEW = 3 services undecided. Annual exposure R$0</t>
  </si>
  <si>
    <t>Audit each REVIEW service this week. Set KEEP/CANCEL decision. Target: eliminate ≥3</t>
  </si>
  <si>
    <t>100% of liquid assets in 2 digital banks (Inter + MP = R$23,197). BB balance R$0</t>
  </si>
  <si>
    <t>Maintain R$30k+ buffer. Consider distributing across BB (Rende Fácil) and Inter</t>
  </si>
  <si>
    <t>R$6,455 in Loteria charges on MP card 2026. No budget cap set</t>
  </si>
  <si>
    <t>Set monthly Loteria limit (e.g. R$500). Remove from card if over limit</t>
  </si>
  <si>
    <t>R$6,624 charged via card on IA/Tech. Likely duplicates subscription stack</t>
  </si>
  <si>
    <t>Cross-match card IA charges vs subscription list. Consolidate to single billing method</t>
  </si>
  <si>
    <t>R$9,037 in travel charges. Review vs business vs personal</t>
  </si>
  <si>
    <t>Classify each travel expense: business vs personal. Flag deductible items</t>
  </si>
  <si>
    <t>R$31,570 in Mercado Livre purchases (69 items). Strong Home Office + CPAP pattern</t>
  </si>
  <si>
    <t>Tag each purchase as CAPEX (equipment), HEALTH, or CONSUMABLE for tax/tracking</t>
  </si>
  <si>
    <t>Total</t>
  </si>
  <si>
    <t xml:space="preserve">  CHARTS  ·  Wealth Management Visual Analytics  ·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</si>
</sst>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%"/>
    <numFmt numFmtId="166" formatCode="\R\$\ #,##0.00"/>
    <numFmt numFmtId="167" formatCode="\+0.0%;\-0.0%"/>
    <numFmt numFmtId="168" formatCode="0.0"/>
    <numFmt numFmtId="169" formatCode="\R\$\ #,##0"/>
  </numFmts>
  <fonts count="40" x14ac:knownFonts="1">
    <font>
      <sz val="11"/>
      <color theme="1"/>
      <name val="Calibri"/>
      <family val="2"/>
      <scheme val="minor"/>
    </font>
    <font>
      <sz val="10"/>
      <color rgb="FF8B949E"/>
      <name val="Calibri"/>
      <family val="2"/>
    </font>
    <font>
      <b/>
      <sz val="18"/>
      <color rgb="FFF0EAD6"/>
      <name val="Calibri"/>
      <family val="2"/>
    </font>
    <font>
      <b/>
      <sz val="9"/>
      <color rgb="FF8B949E"/>
      <name val="Calibri"/>
      <family val="2"/>
    </font>
    <font>
      <sz val="9"/>
      <color rgb="FF8B1A1A"/>
      <name val="Calibri"/>
      <family val="2"/>
    </font>
    <font>
      <b/>
      <sz val="13"/>
      <color rgb="FFC9A84C"/>
      <name val="Calibri"/>
      <family val="2"/>
    </font>
    <font>
      <b/>
      <sz val="10"/>
      <color rgb="FF8B949E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8B1A1A"/>
      <name val="Calibri"/>
      <family val="2"/>
    </font>
    <font>
      <b/>
      <sz val="10"/>
      <color rgb="FF8B1A1A"/>
      <name val="Calibri"/>
      <family val="2"/>
    </font>
    <font>
      <b/>
      <sz val="10"/>
      <color rgb="FF2D6A4F"/>
      <name val="Calibri"/>
      <family val="2"/>
    </font>
    <font>
      <sz val="9"/>
      <color rgb="FF000000"/>
      <name val="Calibri"/>
      <family val="2"/>
    </font>
    <font>
      <sz val="10"/>
      <color rgb="FF2D6A4F"/>
      <name val="Calibri"/>
      <family val="2"/>
    </font>
    <font>
      <sz val="10"/>
      <color rgb="FFB5621B"/>
      <name val="Calibri"/>
      <family val="2"/>
    </font>
    <font>
      <b/>
      <sz val="10"/>
      <color rgb="FFB5621B"/>
      <name val="Calibri"/>
      <family val="2"/>
    </font>
    <font>
      <b/>
      <sz val="18"/>
      <color rgb="FF2D6A4F"/>
      <name val="Calibri"/>
      <family val="2"/>
    </font>
    <font>
      <b/>
      <sz val="18"/>
      <color rgb="FF8B1A1A"/>
      <name val="Calibri"/>
      <family val="2"/>
    </font>
    <font>
      <b/>
      <sz val="18"/>
      <color rgb="FFB5621B"/>
      <name val="Calibri"/>
      <family val="2"/>
    </font>
    <font>
      <b/>
      <sz val="18"/>
      <color rgb="FFC9A84C"/>
      <name val="Calibri"/>
      <family val="2"/>
    </font>
    <font>
      <b/>
      <sz val="9"/>
      <color rgb="FF2D6A4F"/>
      <name val="Calibri"/>
      <family val="2"/>
    </font>
    <font>
      <b/>
      <sz val="11"/>
      <color rgb="FFFF6600"/>
      <name val="Arial"/>
      <family val="2"/>
    </font>
    <font>
      <sz val="8"/>
      <color rgb="FF888888"/>
      <name val="Arial"/>
      <family val="2"/>
    </font>
    <font>
      <b/>
      <sz val="10"/>
      <color rgb="FFFF6600"/>
      <name val="Arial"/>
      <family val="2"/>
    </font>
    <font>
      <b/>
      <sz val="9"/>
      <color rgb="FFFFCC00"/>
      <name val="Arial"/>
      <family val="2"/>
    </font>
    <font>
      <sz val="9"/>
      <color rgb="FFE8E8E8"/>
      <name val="Arial"/>
      <family val="2"/>
    </font>
    <font>
      <b/>
      <sz val="9"/>
      <color rgb="FF00CC44"/>
      <name val="Arial"/>
      <family val="2"/>
    </font>
    <font>
      <b/>
      <sz val="9"/>
      <color rgb="FFFF6600"/>
      <name val="Arial"/>
      <family val="2"/>
    </font>
    <font>
      <b/>
      <sz val="9"/>
      <color rgb="FF3399FF"/>
      <name val="Arial"/>
      <family val="2"/>
    </font>
    <font>
      <b/>
      <sz val="9"/>
      <color rgb="FFFF4444"/>
      <name val="Arial"/>
      <family val="2"/>
    </font>
    <font>
      <i/>
      <sz val="8"/>
      <color rgb="FF888888"/>
      <name val="Arial"/>
      <family val="2"/>
    </font>
    <font>
      <i/>
      <sz val="7"/>
      <color rgb="FF555555"/>
      <name val="Arial"/>
      <family val="2"/>
    </font>
    <font>
      <sz val="8"/>
      <color rgb="FFFFCC00"/>
      <name val="Arial"/>
      <family val="2"/>
    </font>
    <font>
      <sz val="8"/>
      <color rgb="FF3399FF"/>
      <name val="Arial"/>
      <family val="2"/>
    </font>
    <font>
      <i/>
      <sz val="8"/>
      <color rgb="FF555555"/>
      <name val="Arial"/>
      <family val="2"/>
    </font>
    <font>
      <b/>
      <sz val="12"/>
      <color rgb="FFFFCC00"/>
      <name val="Arial"/>
      <family val="2"/>
    </font>
    <font>
      <b/>
      <sz val="12"/>
      <color rgb="FF00CCCC"/>
      <name val="Arial"/>
      <family val="2"/>
    </font>
    <font>
      <b/>
      <sz val="12"/>
      <color rgb="FFFF4444"/>
      <name val="Arial"/>
      <family val="2"/>
    </font>
    <font>
      <b/>
      <sz val="12"/>
      <color rgb="FF3399FF"/>
      <name val="Arial"/>
      <family val="2"/>
    </font>
    <font>
      <b/>
      <sz val="10"/>
      <color rgb="FFFF4444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0D1117"/>
      </patternFill>
    </fill>
    <fill>
      <patternFill patternType="solid">
        <fgColor rgb="FF161B22"/>
      </patternFill>
    </fill>
    <fill>
      <patternFill patternType="solid">
        <fgColor rgb="FF21262D"/>
      </patternFill>
    </fill>
    <fill>
      <patternFill patternType="solid">
        <fgColor rgb="FFFDE8E8"/>
      </patternFill>
    </fill>
    <fill>
      <patternFill patternType="solid">
        <fgColor rgb="FFFFF3CD"/>
      </patternFill>
    </fill>
    <fill>
      <patternFill patternType="solid">
        <fgColor rgb="FFE6F4EA"/>
      </patternFill>
    </fill>
    <fill>
      <patternFill patternType="solid">
        <fgColor rgb="FFFFFFFF"/>
      </patternFill>
    </fill>
    <fill>
      <patternFill patternType="solid">
        <fgColor rgb="FFF6F8FA"/>
      </patternFill>
    </fill>
    <fill>
      <patternFill patternType="solid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0D0D0D"/>
      </patternFill>
    </fill>
    <fill>
      <patternFill patternType="solid">
        <fgColor rgb="FF111111"/>
      </patternFill>
    </fill>
    <fill>
      <patternFill patternType="solid">
        <fgColor rgb="FF050505"/>
      </patternFill>
    </fill>
    <fill>
      <patternFill patternType="solid">
        <fgColor rgb="FF0A0A0A"/>
      </patternFill>
    </fill>
    <fill>
      <patternFill patternType="solid">
        <fgColor rgb="FF1A1500"/>
      </patternFill>
    </fill>
    <fill>
      <patternFill patternType="solid">
        <fgColor rgb="FF001A1A"/>
      </patternFill>
    </fill>
    <fill>
      <patternFill patternType="solid">
        <fgColor rgb="FF1A0000"/>
      </patternFill>
    </fill>
    <fill>
      <patternFill patternType="solid">
        <fgColor rgb="FF181818"/>
      </patternFill>
    </fill>
  </fills>
  <borders count="13">
    <border>
      <left/>
      <right/>
      <top/>
      <bottom/>
      <diagonal/>
    </border>
    <border>
      <left style="thin">
        <color rgb="FF0D1117"/>
      </left>
      <right style="thin">
        <color rgb="FF0D1117"/>
      </right>
      <top style="thin">
        <color rgb="FF0D1117"/>
      </top>
      <bottom style="thin">
        <color rgb="FF0D1117"/>
      </bottom>
      <diagonal/>
    </border>
    <border>
      <left/>
      <right/>
      <top style="thin">
        <color rgb="FF0D1117"/>
      </top>
      <bottom style="thin">
        <color rgb="FF0D1117"/>
      </bottom>
      <diagonal/>
    </border>
    <border>
      <left/>
      <right style="thin">
        <color rgb="FF0D1117"/>
      </right>
      <top style="thin">
        <color rgb="FF0D1117"/>
      </top>
      <bottom style="thin">
        <color rgb="FF0D1117"/>
      </bottom>
      <diagonal/>
    </border>
    <border>
      <left style="thin">
        <color rgb="FF21262D"/>
      </left>
      <right style="thin">
        <color rgb="FF21262D"/>
      </right>
      <top style="thin">
        <color rgb="FF21262D"/>
      </top>
      <bottom style="thin">
        <color rgb="FF21262D"/>
      </bottom>
      <diagonal/>
    </border>
    <border>
      <left/>
      <right style="thin">
        <color rgb="FF21262D"/>
      </right>
      <top style="thin">
        <color rgb="FF21262D"/>
      </top>
      <bottom style="thin">
        <color rgb="FF21262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161B22"/>
      </left>
      <right style="thin">
        <color rgb="FF161B22"/>
      </right>
      <top style="thin">
        <color rgb="FF161B22"/>
      </top>
      <bottom style="thin">
        <color rgb="FF161B22"/>
      </bottom>
      <diagonal/>
    </border>
    <border>
      <left/>
      <right/>
      <top style="thin">
        <color rgb="FF161B22"/>
      </top>
      <bottom style="thin">
        <color rgb="FF161B22"/>
      </bottom>
      <diagonal/>
    </border>
    <border>
      <left/>
      <right style="thin">
        <color rgb="FF161B22"/>
      </right>
      <top style="thin">
        <color rgb="FF161B22"/>
      </top>
      <bottom style="thin">
        <color rgb="FF161B22"/>
      </bottom>
      <diagonal/>
    </border>
    <border>
      <left style="thin">
        <color rgb="FF2A2A2A"/>
      </left>
      <right style="thin">
        <color rgb="FF2A2A2A"/>
      </right>
      <top style="thin">
        <color rgb="FF2A2A2A"/>
      </top>
      <bottom style="thin">
        <color rgb="FF2A2A2A"/>
      </bottom>
      <diagonal/>
    </border>
    <border>
      <left/>
      <right/>
      <top style="thin">
        <color rgb="FF2A2A2A"/>
      </top>
      <bottom style="thin">
        <color rgb="FF2A2A2A"/>
      </bottom>
      <diagonal/>
    </border>
    <border>
      <left/>
      <right style="thin">
        <color rgb="FF2A2A2A"/>
      </right>
      <top style="thin">
        <color rgb="FF2A2A2A"/>
      </top>
      <bottom style="thin">
        <color rgb="FF2A2A2A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/>
    </xf>
    <xf numFmtId="4" fontId="8" fillId="8" borderId="6" xfId="0" applyNumberFormat="1" applyFont="1" applyFill="1" applyBorder="1" applyAlignment="1">
      <alignment horizontal="right" vertical="center"/>
    </xf>
    <xf numFmtId="0" fontId="7" fillId="9" borderId="6" xfId="0" applyFont="1" applyFill="1" applyBorder="1" applyAlignment="1">
      <alignment horizontal="left" vertical="center"/>
    </xf>
    <xf numFmtId="0" fontId="8" fillId="9" borderId="6" xfId="0" applyFont="1" applyFill="1" applyBorder="1" applyAlignment="1">
      <alignment horizontal="left" vertical="center"/>
    </xf>
    <xf numFmtId="4" fontId="8" fillId="9" borderId="6" xfId="0" applyNumberFormat="1" applyFont="1" applyFill="1" applyBorder="1" applyAlignment="1">
      <alignment horizontal="right" vertical="center"/>
    </xf>
    <xf numFmtId="4" fontId="9" fillId="9" borderId="6" xfId="0" applyNumberFormat="1" applyFont="1" applyFill="1" applyBorder="1" applyAlignment="1">
      <alignment horizontal="right" vertical="center"/>
    </xf>
    <xf numFmtId="15" fontId="8" fillId="9" borderId="6" xfId="0" applyNumberFormat="1" applyFont="1" applyFill="1" applyBorder="1" applyAlignment="1">
      <alignment horizontal="left" vertical="center"/>
    </xf>
    <xf numFmtId="3" fontId="8" fillId="9" borderId="6" xfId="0" applyNumberFormat="1" applyFont="1" applyFill="1" applyBorder="1" applyAlignment="1">
      <alignment horizontal="right" vertical="center"/>
    </xf>
    <xf numFmtId="15" fontId="8" fillId="8" borderId="6" xfId="0" applyNumberFormat="1" applyFont="1" applyFill="1" applyBorder="1" applyAlignment="1">
      <alignment horizontal="left" vertical="center"/>
    </xf>
    <xf numFmtId="3" fontId="8" fillId="8" borderId="6" xfId="0" applyNumberFormat="1" applyFont="1" applyFill="1" applyBorder="1" applyAlignment="1">
      <alignment horizontal="right" vertical="center"/>
    </xf>
    <xf numFmtId="0" fontId="8" fillId="8" borderId="6" xfId="0" applyFont="1" applyFill="1" applyBorder="1" applyAlignment="1">
      <alignment horizontal="center" vertical="center"/>
    </xf>
    <xf numFmtId="4" fontId="10" fillId="8" borderId="6" xfId="0" applyNumberFormat="1" applyFont="1" applyFill="1" applyBorder="1" applyAlignment="1">
      <alignment horizontal="right" vertical="center"/>
    </xf>
    <xf numFmtId="0" fontId="8" fillId="9" borderId="6" xfId="0" applyFont="1" applyFill="1" applyBorder="1" applyAlignment="1">
      <alignment horizontal="center" vertical="center"/>
    </xf>
    <xf numFmtId="4" fontId="11" fillId="9" borderId="6" xfId="0" applyNumberFormat="1" applyFont="1" applyFill="1" applyBorder="1" applyAlignment="1">
      <alignment horizontal="right" vertical="center"/>
    </xf>
    <xf numFmtId="4" fontId="11" fillId="8" borderId="6" xfId="0" applyNumberFormat="1" applyFont="1" applyFill="1" applyBorder="1" applyAlignment="1">
      <alignment horizontal="right" vertical="center"/>
    </xf>
    <xf numFmtId="15" fontId="12" fillId="8" borderId="6" xfId="0" applyNumberFormat="1" applyFont="1" applyFill="1" applyBorder="1" applyAlignment="1">
      <alignment horizontal="left" vertical="center"/>
    </xf>
    <xf numFmtId="0" fontId="12" fillId="8" borderId="6" xfId="0" applyFont="1" applyFill="1" applyBorder="1" applyAlignment="1">
      <alignment horizontal="left" vertical="center"/>
    </xf>
    <xf numFmtId="164" fontId="12" fillId="8" borderId="6" xfId="0" applyNumberFormat="1" applyFont="1" applyFill="1" applyBorder="1" applyAlignment="1">
      <alignment horizontal="right" vertical="center"/>
    </xf>
    <xf numFmtId="15" fontId="12" fillId="9" borderId="6" xfId="0" applyNumberFormat="1" applyFont="1" applyFill="1" applyBorder="1" applyAlignment="1">
      <alignment horizontal="left" vertical="center"/>
    </xf>
    <xf numFmtId="0" fontId="12" fillId="9" borderId="6" xfId="0" applyFont="1" applyFill="1" applyBorder="1" applyAlignment="1">
      <alignment horizontal="left" vertical="center"/>
    </xf>
    <xf numFmtId="164" fontId="12" fillId="9" borderId="6" xfId="0" applyNumberFormat="1" applyFont="1" applyFill="1" applyBorder="1" applyAlignment="1">
      <alignment horizontal="right" vertical="center"/>
    </xf>
    <xf numFmtId="4" fontId="4" fillId="9" borderId="6" xfId="0" applyNumberFormat="1" applyFont="1" applyFill="1" applyBorder="1" applyAlignment="1">
      <alignment horizontal="right" vertical="center"/>
    </xf>
    <xf numFmtId="4" fontId="4" fillId="8" borderId="6" xfId="0" applyNumberFormat="1" applyFont="1" applyFill="1" applyBorder="1" applyAlignment="1">
      <alignment horizontal="right" vertical="center"/>
    </xf>
    <xf numFmtId="165" fontId="8" fillId="8" borderId="6" xfId="0" applyNumberFormat="1" applyFont="1" applyFill="1" applyBorder="1" applyAlignment="1">
      <alignment horizontal="right" vertical="center"/>
    </xf>
    <xf numFmtId="165" fontId="8" fillId="9" borderId="6" xfId="0" applyNumberFormat="1" applyFont="1" applyFill="1" applyBorder="1" applyAlignment="1">
      <alignment horizontal="right" vertical="center"/>
    </xf>
    <xf numFmtId="0" fontId="8" fillId="8" borderId="6" xfId="0" applyFont="1" applyFill="1" applyBorder="1" applyAlignment="1">
      <alignment horizontal="right" vertical="center"/>
    </xf>
    <xf numFmtId="0" fontId="8" fillId="9" borderId="6" xfId="0" applyFont="1" applyFill="1" applyBorder="1" applyAlignment="1">
      <alignment horizontal="right" vertical="center"/>
    </xf>
    <xf numFmtId="4" fontId="12" fillId="8" borderId="6" xfId="0" applyNumberFormat="1" applyFont="1" applyFill="1" applyBorder="1" applyAlignment="1">
      <alignment horizontal="right" vertical="center"/>
    </xf>
    <xf numFmtId="4" fontId="12" fillId="9" borderId="6" xfId="0" applyNumberFormat="1" applyFont="1" applyFill="1" applyBorder="1" applyAlignment="1">
      <alignment horizontal="right" vertical="center"/>
    </xf>
    <xf numFmtId="0" fontId="12" fillId="9" borderId="6" xfId="0" applyFont="1" applyFill="1" applyBorder="1" applyAlignment="1">
      <alignment horizontal="right" vertical="center"/>
    </xf>
    <xf numFmtId="0" fontId="12" fillId="8" borderId="6" xfId="0" applyFont="1" applyFill="1" applyBorder="1" applyAlignment="1">
      <alignment horizontal="right" vertical="center"/>
    </xf>
    <xf numFmtId="0" fontId="7" fillId="5" borderId="6" xfId="0" applyFont="1" applyFill="1" applyBorder="1" applyAlignment="1">
      <alignment horizontal="left" vertical="center"/>
    </xf>
    <xf numFmtId="4" fontId="8" fillId="5" borderId="6" xfId="0" applyNumberFormat="1" applyFont="1" applyFill="1" applyBorder="1" applyAlignment="1">
      <alignment horizontal="right" vertical="center"/>
    </xf>
    <xf numFmtId="165" fontId="8" fillId="5" borderId="6" xfId="0" applyNumberFormat="1" applyFont="1" applyFill="1" applyBorder="1" applyAlignment="1">
      <alignment horizontal="right" vertical="center"/>
    </xf>
    <xf numFmtId="3" fontId="8" fillId="5" borderId="6" xfId="0" applyNumberFormat="1" applyFont="1" applyFill="1" applyBorder="1" applyAlignment="1">
      <alignment horizontal="right" vertical="center"/>
    </xf>
    <xf numFmtId="0" fontId="8" fillId="5" borderId="6" xfId="0" applyFont="1" applyFill="1" applyBorder="1" applyAlignment="1">
      <alignment horizontal="left" vertical="center"/>
    </xf>
    <xf numFmtId="4" fontId="13" fillId="9" borderId="6" xfId="0" applyNumberFormat="1" applyFont="1" applyFill="1" applyBorder="1" applyAlignment="1">
      <alignment horizontal="right" vertical="center"/>
    </xf>
    <xf numFmtId="4" fontId="9" fillId="8" borderId="6" xfId="0" applyNumberFormat="1" applyFont="1" applyFill="1" applyBorder="1" applyAlignment="1">
      <alignment horizontal="right" vertical="center"/>
    </xf>
    <xf numFmtId="4" fontId="13" fillId="8" borderId="6" xfId="0" applyNumberFormat="1" applyFont="1" applyFill="1" applyBorder="1" applyAlignment="1">
      <alignment horizontal="right" vertical="center"/>
    </xf>
    <xf numFmtId="0" fontId="14" fillId="6" borderId="6" xfId="0" applyFont="1" applyFill="1" applyBorder="1" applyAlignment="1">
      <alignment horizontal="left" vertical="center"/>
    </xf>
    <xf numFmtId="0" fontId="14" fillId="6" borderId="6" xfId="0" applyFont="1" applyFill="1" applyBorder="1" applyAlignment="1">
      <alignment horizontal="right" vertical="center"/>
    </xf>
    <xf numFmtId="0" fontId="15" fillId="6" borderId="6" xfId="0" applyFont="1" applyFill="1" applyBorder="1" applyAlignment="1">
      <alignment horizontal="center" vertical="center"/>
    </xf>
    <xf numFmtId="4" fontId="19" fillId="4" borderId="4" xfId="0" applyNumberFormat="1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horizontal="left" vertical="center"/>
    </xf>
    <xf numFmtId="0" fontId="12" fillId="7" borderId="6" xfId="0" applyFont="1" applyFill="1" applyBorder="1" applyAlignment="1">
      <alignment horizontal="left" vertical="center" wrapText="1"/>
    </xf>
    <xf numFmtId="0" fontId="12" fillId="7" borderId="6" xfId="0" applyFont="1" applyFill="1" applyBorder="1" applyAlignment="1">
      <alignment horizontal="right" vertical="center"/>
    </xf>
    <xf numFmtId="4" fontId="12" fillId="7" borderId="6" xfId="0" applyNumberFormat="1" applyFont="1" applyFill="1" applyBorder="1" applyAlignment="1">
      <alignment horizontal="right" vertical="center"/>
    </xf>
    <xf numFmtId="0" fontId="24" fillId="12" borderId="10" xfId="0" applyFont="1" applyFill="1" applyBorder="1" applyAlignment="1">
      <alignment horizontal="left" vertical="center"/>
    </xf>
    <xf numFmtId="0" fontId="25" fillId="13" borderId="10" xfId="0" applyFont="1" applyFill="1" applyBorder="1" applyAlignment="1">
      <alignment horizontal="left" vertical="center"/>
    </xf>
    <xf numFmtId="166" fontId="26" fillId="13" borderId="10" xfId="0" applyNumberFormat="1" applyFont="1" applyFill="1" applyBorder="1" applyAlignment="1">
      <alignment horizontal="right" vertical="center"/>
    </xf>
    <xf numFmtId="166" fontId="25" fillId="13" borderId="10" xfId="0" applyNumberFormat="1" applyFont="1" applyFill="1" applyBorder="1" applyAlignment="1">
      <alignment horizontal="right" vertical="center"/>
    </xf>
    <xf numFmtId="0" fontId="25" fillId="13" borderId="10" xfId="0" applyFont="1" applyFill="1" applyBorder="1" applyAlignment="1">
      <alignment horizontal="center" vertical="center"/>
    </xf>
    <xf numFmtId="0" fontId="26" fillId="13" borderId="10" xfId="0" applyFont="1" applyFill="1" applyBorder="1" applyAlignment="1">
      <alignment horizontal="center" vertical="center"/>
    </xf>
    <xf numFmtId="0" fontId="25" fillId="14" borderId="10" xfId="0" applyFont="1" applyFill="1" applyBorder="1" applyAlignment="1">
      <alignment horizontal="left" vertical="center"/>
    </xf>
    <xf numFmtId="166" fontId="26" fillId="14" borderId="10" xfId="0" applyNumberFormat="1" applyFont="1" applyFill="1" applyBorder="1" applyAlignment="1">
      <alignment horizontal="right" vertical="center"/>
    </xf>
    <xf numFmtId="166" fontId="25" fillId="14" borderId="10" xfId="0" applyNumberFormat="1" applyFont="1" applyFill="1" applyBorder="1" applyAlignment="1">
      <alignment horizontal="right" vertical="center"/>
    </xf>
    <xf numFmtId="0" fontId="25" fillId="14" borderId="10" xfId="0" applyFont="1" applyFill="1" applyBorder="1" applyAlignment="1">
      <alignment horizontal="center" vertical="center"/>
    </xf>
    <xf numFmtId="0" fontId="26" fillId="14" borderId="10" xfId="0" applyFont="1" applyFill="1" applyBorder="1" applyAlignment="1">
      <alignment horizontal="center" vertical="center"/>
    </xf>
    <xf numFmtId="0" fontId="27" fillId="12" borderId="10" xfId="0" applyFont="1" applyFill="1" applyBorder="1" applyAlignment="1">
      <alignment horizontal="left" vertical="center"/>
    </xf>
    <xf numFmtId="166" fontId="27" fillId="12" borderId="10" xfId="0" applyNumberFormat="1" applyFont="1" applyFill="1" applyBorder="1" applyAlignment="1">
      <alignment horizontal="right" vertical="center"/>
    </xf>
    <xf numFmtId="166" fontId="29" fillId="14" borderId="10" xfId="0" applyNumberFormat="1" applyFont="1" applyFill="1" applyBorder="1" applyAlignment="1">
      <alignment horizontal="right" vertical="center"/>
    </xf>
    <xf numFmtId="0" fontId="29" fillId="14" borderId="10" xfId="0" applyFont="1" applyFill="1" applyBorder="1" applyAlignment="1">
      <alignment horizontal="center" vertical="center"/>
    </xf>
    <xf numFmtId="166" fontId="29" fillId="13" borderId="10" xfId="0" applyNumberFormat="1" applyFont="1" applyFill="1" applyBorder="1" applyAlignment="1">
      <alignment horizontal="right" vertical="center"/>
    </xf>
    <xf numFmtId="0" fontId="29" fillId="13" borderId="10" xfId="0" applyFont="1" applyFill="1" applyBorder="1" applyAlignment="1">
      <alignment horizontal="center" vertical="center"/>
    </xf>
    <xf numFmtId="166" fontId="28" fillId="13" borderId="10" xfId="0" applyNumberFormat="1" applyFont="1" applyFill="1" applyBorder="1" applyAlignment="1">
      <alignment horizontal="right" vertical="center"/>
    </xf>
    <xf numFmtId="0" fontId="28" fillId="13" borderId="10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left" vertical="center"/>
    </xf>
    <xf numFmtId="3" fontId="25" fillId="13" borderId="10" xfId="0" applyNumberFormat="1" applyFont="1" applyFill="1" applyBorder="1" applyAlignment="1">
      <alignment horizontal="right" vertical="center"/>
    </xf>
    <xf numFmtId="0" fontId="26" fillId="13" borderId="10" xfId="0" applyFont="1" applyFill="1" applyBorder="1" applyAlignment="1">
      <alignment horizontal="left" vertical="center"/>
    </xf>
    <xf numFmtId="0" fontId="29" fillId="13" borderId="10" xfId="0" applyFont="1" applyFill="1" applyBorder="1" applyAlignment="1">
      <alignment horizontal="left" vertical="center"/>
    </xf>
    <xf numFmtId="3" fontId="25" fillId="14" borderId="10" xfId="0" applyNumberFormat="1" applyFont="1" applyFill="1" applyBorder="1" applyAlignment="1">
      <alignment horizontal="right" vertical="center"/>
    </xf>
    <xf numFmtId="3" fontId="27" fillId="12" borderId="10" xfId="0" applyNumberFormat="1" applyFont="1" applyFill="1" applyBorder="1" applyAlignment="1">
      <alignment horizontal="right" vertical="center"/>
    </xf>
    <xf numFmtId="0" fontId="25" fillId="12" borderId="10" xfId="0" applyFont="1" applyFill="1" applyBorder="1" applyAlignment="1">
      <alignment horizontal="right" vertical="center"/>
    </xf>
    <xf numFmtId="167" fontId="29" fillId="13" borderId="10" xfId="0" applyNumberFormat="1" applyFont="1" applyFill="1" applyBorder="1" applyAlignment="1">
      <alignment horizontal="right" vertical="center"/>
    </xf>
    <xf numFmtId="167" fontId="29" fillId="14" borderId="10" xfId="0" applyNumberFormat="1" applyFont="1" applyFill="1" applyBorder="1" applyAlignment="1">
      <alignment horizontal="right" vertical="center"/>
    </xf>
    <xf numFmtId="167" fontId="26" fillId="14" borderId="10" xfId="0" applyNumberFormat="1" applyFont="1" applyFill="1" applyBorder="1" applyAlignment="1">
      <alignment horizontal="right" vertical="center"/>
    </xf>
    <xf numFmtId="167" fontId="26" fillId="13" borderId="10" xfId="0" applyNumberFormat="1" applyFont="1" applyFill="1" applyBorder="1" applyAlignment="1">
      <alignment horizontal="right" vertical="center"/>
    </xf>
    <xf numFmtId="165" fontId="25" fillId="13" borderId="10" xfId="0" applyNumberFormat="1" applyFont="1" applyFill="1" applyBorder="1" applyAlignment="1">
      <alignment horizontal="right" vertical="center"/>
    </xf>
    <xf numFmtId="165" fontId="25" fillId="14" borderId="10" xfId="0" applyNumberFormat="1" applyFont="1" applyFill="1" applyBorder="1" applyAlignment="1">
      <alignment horizontal="right" vertical="center"/>
    </xf>
    <xf numFmtId="165" fontId="29" fillId="13" borderId="10" xfId="0" applyNumberFormat="1" applyFont="1" applyFill="1" applyBorder="1" applyAlignment="1">
      <alignment horizontal="right" vertical="center"/>
    </xf>
    <xf numFmtId="165" fontId="29" fillId="14" borderId="10" xfId="0" applyNumberFormat="1" applyFont="1" applyFill="1" applyBorder="1" applyAlignment="1">
      <alignment horizontal="right" vertical="center"/>
    </xf>
    <xf numFmtId="0" fontId="29" fillId="14" borderId="10" xfId="0" applyFont="1" applyFill="1" applyBorder="1" applyAlignment="1">
      <alignment horizontal="left" vertical="center"/>
    </xf>
    <xf numFmtId="165" fontId="26" fillId="14" borderId="10" xfId="0" applyNumberFormat="1" applyFont="1" applyFill="1" applyBorder="1" applyAlignment="1">
      <alignment horizontal="right" vertical="center"/>
    </xf>
    <xf numFmtId="0" fontId="26" fillId="14" borderId="10" xfId="0" applyFont="1" applyFill="1" applyBorder="1" applyAlignment="1">
      <alignment horizontal="left" vertical="center"/>
    </xf>
    <xf numFmtId="166" fontId="24" fillId="14" borderId="10" xfId="0" applyNumberFormat="1" applyFont="1" applyFill="1" applyBorder="1" applyAlignment="1">
      <alignment horizontal="right" vertical="center"/>
    </xf>
    <xf numFmtId="0" fontId="24" fillId="14" borderId="10" xfId="0" applyFont="1" applyFill="1" applyBorder="1" applyAlignment="1">
      <alignment horizontal="center" vertical="center"/>
    </xf>
    <xf numFmtId="166" fontId="24" fillId="13" borderId="10" xfId="0" applyNumberFormat="1" applyFont="1" applyFill="1" applyBorder="1" applyAlignment="1">
      <alignment horizontal="right" vertical="center"/>
    </xf>
    <xf numFmtId="0" fontId="24" fillId="13" borderId="10" xfId="0" applyFont="1" applyFill="1" applyBorder="1" applyAlignment="1">
      <alignment horizontal="center" vertical="center"/>
    </xf>
    <xf numFmtId="0" fontId="29" fillId="12" borderId="10" xfId="0" applyFont="1" applyFill="1" applyBorder="1" applyAlignment="1">
      <alignment horizontal="left" vertical="center"/>
    </xf>
    <xf numFmtId="166" fontId="29" fillId="12" borderId="10" xfId="0" applyNumberFormat="1" applyFont="1" applyFill="1" applyBorder="1" applyAlignment="1">
      <alignment horizontal="right" vertical="center"/>
    </xf>
    <xf numFmtId="0" fontId="26" fillId="12" borderId="10" xfId="0" applyFont="1" applyFill="1" applyBorder="1" applyAlignment="1">
      <alignment horizontal="left" vertical="center"/>
    </xf>
    <xf numFmtId="166" fontId="26" fillId="12" borderId="10" xfId="0" applyNumberFormat="1" applyFont="1" applyFill="1" applyBorder="1" applyAlignment="1">
      <alignment horizontal="right" vertical="center"/>
    </xf>
    <xf numFmtId="166" fontId="24" fillId="12" borderId="10" xfId="0" applyNumberFormat="1" applyFont="1" applyFill="1" applyBorder="1" applyAlignment="1">
      <alignment horizontal="right" vertical="center"/>
    </xf>
    <xf numFmtId="0" fontId="27" fillId="13" borderId="10" xfId="0" applyFont="1" applyFill="1" applyBorder="1" applyAlignment="1">
      <alignment horizontal="left" vertical="center"/>
    </xf>
    <xf numFmtId="0" fontId="24" fillId="13" borderId="10" xfId="0" applyFont="1" applyFill="1" applyBorder="1" applyAlignment="1">
      <alignment horizontal="left" vertical="center"/>
    </xf>
    <xf numFmtId="0" fontId="27" fillId="14" borderId="10" xfId="0" applyFont="1" applyFill="1" applyBorder="1" applyAlignment="1">
      <alignment horizontal="left" vertical="center"/>
    </xf>
    <xf numFmtId="0" fontId="24" fillId="14" borderId="10" xfId="0" applyFont="1" applyFill="1" applyBorder="1" applyAlignment="1">
      <alignment horizontal="left" vertical="center"/>
    </xf>
    <xf numFmtId="166" fontId="27" fillId="14" borderId="10" xfId="0" applyNumberFormat="1" applyFont="1" applyFill="1" applyBorder="1" applyAlignment="1">
      <alignment horizontal="right" vertical="center"/>
    </xf>
    <xf numFmtId="166" fontId="27" fillId="13" borderId="10" xfId="0" applyNumberFormat="1" applyFont="1" applyFill="1" applyBorder="1" applyAlignment="1">
      <alignment horizontal="right" vertical="center"/>
    </xf>
    <xf numFmtId="0" fontId="29" fillId="13" borderId="10" xfId="0" applyFont="1" applyFill="1" applyBorder="1" applyAlignment="1">
      <alignment horizontal="right" vertical="center"/>
    </xf>
    <xf numFmtId="0" fontId="29" fillId="14" borderId="10" xfId="0" applyFont="1" applyFill="1" applyBorder="1" applyAlignment="1">
      <alignment horizontal="right" vertical="center"/>
    </xf>
    <xf numFmtId="0" fontId="26" fillId="14" borderId="10" xfId="0" applyFont="1" applyFill="1" applyBorder="1" applyAlignment="1">
      <alignment horizontal="right" vertical="center"/>
    </xf>
    <xf numFmtId="0" fontId="26" fillId="13" borderId="10" xfId="0" applyFont="1" applyFill="1" applyBorder="1" applyAlignment="1">
      <alignment horizontal="right" vertical="center"/>
    </xf>
    <xf numFmtId="0" fontId="24" fillId="12" borderId="10" xfId="0" applyFont="1" applyFill="1" applyBorder="1" applyAlignment="1">
      <alignment horizontal="center" vertical="center"/>
    </xf>
    <xf numFmtId="167" fontId="25" fillId="13" borderId="10" xfId="0" applyNumberFormat="1" applyFont="1" applyFill="1" applyBorder="1" applyAlignment="1">
      <alignment horizontal="right" vertical="center"/>
    </xf>
    <xf numFmtId="165" fontId="24" fillId="13" borderId="10" xfId="0" applyNumberFormat="1" applyFont="1" applyFill="1" applyBorder="1" applyAlignment="1">
      <alignment horizontal="right" vertical="center"/>
    </xf>
    <xf numFmtId="165" fontId="24" fillId="14" borderId="10" xfId="0" applyNumberFormat="1" applyFont="1" applyFill="1" applyBorder="1" applyAlignment="1">
      <alignment horizontal="right" vertical="center"/>
    </xf>
    <xf numFmtId="0" fontId="28" fillId="14" borderId="10" xfId="0" applyFont="1" applyFill="1" applyBorder="1" applyAlignment="1">
      <alignment horizontal="left" vertical="center"/>
    </xf>
    <xf numFmtId="3" fontId="29" fillId="13" borderId="10" xfId="0" applyNumberFormat="1" applyFont="1" applyFill="1" applyBorder="1" applyAlignment="1">
      <alignment horizontal="right" vertical="center"/>
    </xf>
    <xf numFmtId="3" fontId="26" fillId="14" borderId="10" xfId="0" applyNumberFormat="1" applyFont="1" applyFill="1" applyBorder="1" applyAlignment="1">
      <alignment horizontal="right" vertical="center"/>
    </xf>
    <xf numFmtId="3" fontId="24" fillId="13" borderId="10" xfId="0" applyNumberFormat="1" applyFont="1" applyFill="1" applyBorder="1" applyAlignment="1">
      <alignment horizontal="right" vertical="center"/>
    </xf>
    <xf numFmtId="0" fontId="26" fillId="13" borderId="10" xfId="0" applyFont="1" applyFill="1" applyBorder="1" applyAlignment="1">
      <alignment horizontal="left" vertical="center" wrapText="1"/>
    </xf>
    <xf numFmtId="0" fontId="26" fillId="14" borderId="10" xfId="0" applyFont="1" applyFill="1" applyBorder="1" applyAlignment="1">
      <alignment horizontal="left" vertical="center" wrapText="1"/>
    </xf>
    <xf numFmtId="168" fontId="25" fillId="13" borderId="10" xfId="0" applyNumberFormat="1" applyFont="1" applyFill="1" applyBorder="1" applyAlignment="1">
      <alignment horizontal="right" vertical="center"/>
    </xf>
    <xf numFmtId="169" fontId="29" fillId="13" borderId="10" xfId="0" applyNumberFormat="1" applyFont="1" applyFill="1" applyBorder="1" applyAlignment="1">
      <alignment horizontal="right" vertical="center"/>
    </xf>
    <xf numFmtId="169" fontId="28" fillId="13" borderId="10" xfId="0" applyNumberFormat="1" applyFont="1" applyFill="1" applyBorder="1" applyAlignment="1">
      <alignment horizontal="right" vertical="center"/>
    </xf>
    <xf numFmtId="168" fontId="25" fillId="14" borderId="10" xfId="0" applyNumberFormat="1" applyFont="1" applyFill="1" applyBorder="1" applyAlignment="1">
      <alignment horizontal="right" vertical="center"/>
    </xf>
    <xf numFmtId="169" fontId="29" fillId="14" borderId="10" xfId="0" applyNumberFormat="1" applyFont="1" applyFill="1" applyBorder="1" applyAlignment="1">
      <alignment horizontal="right" vertical="center"/>
    </xf>
    <xf numFmtId="169" fontId="26" fillId="14" borderId="10" xfId="0" applyNumberFormat="1" applyFont="1" applyFill="1" applyBorder="1" applyAlignment="1">
      <alignment horizontal="right" vertical="center"/>
    </xf>
    <xf numFmtId="169" fontId="28" fillId="14" borderId="10" xfId="0" applyNumberFormat="1" applyFont="1" applyFill="1" applyBorder="1" applyAlignment="1">
      <alignment horizontal="right" vertical="center"/>
    </xf>
    <xf numFmtId="169" fontId="24" fillId="13" borderId="10" xfId="0" applyNumberFormat="1" applyFont="1" applyFill="1" applyBorder="1" applyAlignment="1">
      <alignment horizontal="right" vertical="center"/>
    </xf>
    <xf numFmtId="169" fontId="25" fillId="13" borderId="10" xfId="0" applyNumberFormat="1" applyFont="1" applyFill="1" applyBorder="1" applyAlignment="1">
      <alignment horizontal="right" vertical="center"/>
    </xf>
    <xf numFmtId="169" fontId="24" fillId="14" borderId="10" xfId="0" applyNumberFormat="1" applyFont="1" applyFill="1" applyBorder="1" applyAlignment="1">
      <alignment horizontal="right" vertical="center"/>
    </xf>
    <xf numFmtId="169" fontId="25" fillId="14" borderId="10" xfId="0" applyNumberFormat="1" applyFont="1" applyFill="1" applyBorder="1" applyAlignment="1">
      <alignment horizontal="right" vertical="center"/>
    </xf>
    <xf numFmtId="3" fontId="29" fillId="14" borderId="10" xfId="0" applyNumberFormat="1" applyFont="1" applyFill="1" applyBorder="1" applyAlignment="1">
      <alignment horizontal="right" vertical="center"/>
    </xf>
    <xf numFmtId="3" fontId="26" fillId="13" borderId="10" xfId="0" applyNumberFormat="1" applyFont="1" applyFill="1" applyBorder="1" applyAlignment="1">
      <alignment horizontal="right" vertical="center"/>
    </xf>
    <xf numFmtId="3" fontId="24" fillId="14" borderId="10" xfId="0" applyNumberFormat="1" applyFont="1" applyFill="1" applyBorder="1" applyAlignment="1">
      <alignment horizontal="right" vertical="center"/>
    </xf>
    <xf numFmtId="0" fontId="22" fillId="16" borderId="10" xfId="0" applyFont="1" applyFill="1" applyBorder="1" applyAlignment="1">
      <alignment horizontal="center" vertical="center"/>
    </xf>
    <xf numFmtId="0" fontId="35" fillId="17" borderId="10" xfId="0" applyFont="1" applyFill="1" applyBorder="1" applyAlignment="1">
      <alignment horizontal="center" vertical="center"/>
    </xf>
    <xf numFmtId="0" fontId="37" fillId="19" borderId="10" xfId="0" applyFont="1" applyFill="1" applyBorder="1" applyAlignment="1">
      <alignment horizontal="center" vertical="center"/>
    </xf>
    <xf numFmtId="0" fontId="22" fillId="20" borderId="10" xfId="0" applyFont="1" applyFill="1" applyBorder="1" applyAlignment="1">
      <alignment horizontal="center" vertical="center"/>
    </xf>
    <xf numFmtId="0" fontId="39" fillId="19" borderId="10" xfId="0" applyFont="1" applyFill="1" applyBorder="1" applyAlignment="1">
      <alignment horizontal="center" vertical="center"/>
    </xf>
    <xf numFmtId="0" fontId="39" fillId="19" borderId="10" xfId="0" applyFont="1" applyFill="1" applyBorder="1" applyAlignment="1">
      <alignment horizontal="left" vertical="center"/>
    </xf>
    <xf numFmtId="0" fontId="24" fillId="16" borderId="10" xfId="0" applyFont="1" applyFill="1" applyBorder="1" applyAlignment="1">
      <alignment horizontal="center" vertical="center"/>
    </xf>
    <xf numFmtId="0" fontId="25" fillId="14" borderId="10" xfId="0" applyFont="1" applyFill="1" applyBorder="1" applyAlignment="1">
      <alignment horizontal="right" vertical="center"/>
    </xf>
    <xf numFmtId="0" fontId="38" fillId="14" borderId="10" xfId="0" applyFont="1" applyFill="1" applyBorder="1" applyAlignment="1">
      <alignment horizontal="center" vertical="center"/>
    </xf>
    <xf numFmtId="0" fontId="38" fillId="14" borderId="10" xfId="0" applyFont="1" applyFill="1" applyBorder="1" applyAlignment="1">
      <alignment horizontal="right" vertical="center"/>
    </xf>
    <xf numFmtId="0" fontId="25" fillId="19" borderId="10" xfId="0" applyFont="1" applyFill="1" applyBorder="1" applyAlignment="1">
      <alignment horizontal="right" vertical="center"/>
    </xf>
    <xf numFmtId="0" fontId="25" fillId="19" borderId="10" xfId="0" applyFont="1" applyFill="1" applyBorder="1" applyAlignment="1">
      <alignment horizontal="center" vertical="center"/>
    </xf>
    <xf numFmtId="0" fontId="37" fillId="19" borderId="10" xfId="0" applyFont="1" applyFill="1" applyBorder="1" applyAlignment="1">
      <alignment horizontal="right" vertical="center"/>
    </xf>
    <xf numFmtId="0" fontId="25" fillId="17" borderId="10" xfId="0" applyFont="1" applyFill="1" applyBorder="1" applyAlignment="1">
      <alignment horizontal="right" vertical="center"/>
    </xf>
    <xf numFmtId="0" fontId="25" fillId="17" borderId="10" xfId="0" applyFont="1" applyFill="1" applyBorder="1" applyAlignment="1">
      <alignment horizontal="center" vertical="center"/>
    </xf>
    <xf numFmtId="169" fontId="35" fillId="17" borderId="10" xfId="0" applyNumberFormat="1" applyFont="1" applyFill="1" applyBorder="1" applyAlignment="1">
      <alignment horizontal="right" vertical="center"/>
    </xf>
    <xf numFmtId="0" fontId="35" fillId="14" borderId="10" xfId="0" applyFont="1" applyFill="1" applyBorder="1" applyAlignment="1">
      <alignment horizontal="center" vertical="center"/>
    </xf>
    <xf numFmtId="169" fontId="35" fillId="14" borderId="10" xfId="0" applyNumberFormat="1" applyFont="1" applyFill="1" applyBorder="1" applyAlignment="1">
      <alignment horizontal="right" vertical="center"/>
    </xf>
    <xf numFmtId="0" fontId="34" fillId="10" borderId="0" xfId="0" applyFont="1" applyFill="1" applyAlignment="1">
      <alignment horizontal="left" vertical="center"/>
    </xf>
    <xf numFmtId="0" fontId="0" fillId="0" borderId="0" xfId="0"/>
    <xf numFmtId="0" fontId="22" fillId="16" borderId="10" xfId="0" applyFont="1" applyFill="1" applyBorder="1" applyAlignment="1">
      <alignment horizontal="center" vertical="center"/>
    </xf>
    <xf numFmtId="0" fontId="0" fillId="0" borderId="12" xfId="0" applyBorder="1"/>
    <xf numFmtId="0" fontId="24" fillId="16" borderId="10" xfId="0" applyFont="1" applyFill="1" applyBorder="1" applyAlignment="1">
      <alignment horizontal="left" vertical="center"/>
    </xf>
    <xf numFmtId="0" fontId="0" fillId="0" borderId="11" xfId="0" applyBorder="1"/>
    <xf numFmtId="0" fontId="25" fillId="14" borderId="10" xfId="0" applyFont="1" applyFill="1" applyBorder="1" applyAlignment="1">
      <alignment horizontal="left" vertical="center" wrapText="1"/>
    </xf>
    <xf numFmtId="0" fontId="37" fillId="19" borderId="10" xfId="0" applyFont="1" applyFill="1" applyBorder="1" applyAlignment="1">
      <alignment horizontal="center" vertical="center"/>
    </xf>
    <xf numFmtId="0" fontId="36" fillId="18" borderId="10" xfId="0" applyFont="1" applyFill="1" applyBorder="1" applyAlignment="1">
      <alignment horizontal="center" vertical="center"/>
    </xf>
    <xf numFmtId="0" fontId="25" fillId="17" borderId="10" xfId="0" applyFont="1" applyFill="1" applyBorder="1" applyAlignment="1">
      <alignment horizontal="left" vertical="center" wrapText="1"/>
    </xf>
    <xf numFmtId="0" fontId="35" fillId="17" borderId="10" xfId="0" applyFont="1" applyFill="1" applyBorder="1" applyAlignment="1">
      <alignment horizontal="center" vertical="center"/>
    </xf>
    <xf numFmtId="0" fontId="25" fillId="19" borderId="10" xfId="0" applyFont="1" applyFill="1" applyBorder="1" applyAlignment="1">
      <alignment horizontal="left" vertical="center" wrapText="1"/>
    </xf>
    <xf numFmtId="0" fontId="33" fillId="15" borderId="0" xfId="0" applyFont="1" applyFill="1"/>
    <xf numFmtId="0" fontId="32" fillId="15" borderId="0" xfId="0" applyFont="1" applyFill="1"/>
    <xf numFmtId="0" fontId="24" fillId="12" borderId="10" xfId="0" applyFont="1" applyFill="1" applyBorder="1" applyAlignment="1">
      <alignment horizontal="left" vertical="center"/>
    </xf>
    <xf numFmtId="0" fontId="31" fillId="15" borderId="0" xfId="0" applyFont="1" applyFill="1"/>
    <xf numFmtId="0" fontId="23" fillId="11" borderId="10" xfId="0" applyFont="1" applyFill="1" applyBorder="1" applyAlignment="1">
      <alignment horizontal="left" vertical="center"/>
    </xf>
    <xf numFmtId="0" fontId="30" fillId="15" borderId="0" xfId="0" applyFont="1" applyFill="1" applyAlignment="1">
      <alignment horizontal="left" vertical="center"/>
    </xf>
    <xf numFmtId="0" fontId="30" fillId="15" borderId="0" xfId="0" applyFont="1" applyFill="1"/>
    <xf numFmtId="0" fontId="22" fillId="10" borderId="0" xfId="0" applyFont="1" applyFill="1"/>
    <xf numFmtId="0" fontId="32" fillId="15" borderId="10" xfId="0" applyFont="1" applyFill="1" applyBorder="1" applyAlignment="1">
      <alignment horizontal="left" vertical="center"/>
    </xf>
    <xf numFmtId="0" fontId="30" fillId="15" borderId="10" xfId="0" applyFont="1" applyFill="1" applyBorder="1" applyAlignment="1">
      <alignment horizontal="left" vertical="center"/>
    </xf>
    <xf numFmtId="0" fontId="21" fillId="10" borderId="0" xfId="0" applyFont="1" applyFill="1"/>
    <xf numFmtId="0" fontId="22" fillId="15" borderId="0" xfId="0" applyFont="1" applyFill="1"/>
    <xf numFmtId="0" fontId="6" fillId="3" borderId="7" xfId="0" applyFont="1" applyFill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5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4" fontId="2" fillId="4" borderId="4" xfId="0" applyNumberFormat="1" applyFont="1" applyFill="1" applyBorder="1" applyAlignment="1">
      <alignment horizontal="center" vertical="center"/>
    </xf>
    <xf numFmtId="0" fontId="0" fillId="0" borderId="5" xfId="0" applyBorder="1"/>
    <xf numFmtId="0" fontId="1" fillId="3" borderId="4" xfId="0" applyFont="1" applyFill="1" applyBorder="1" applyAlignment="1">
      <alignment horizontal="center" vertical="center"/>
    </xf>
    <xf numFmtId="4" fontId="18" fillId="4" borderId="4" xfId="0" applyNumberFormat="1" applyFont="1" applyFill="1" applyBorder="1" applyAlignment="1">
      <alignment horizontal="center" vertical="center"/>
    </xf>
    <xf numFmtId="4" fontId="16" fillId="4" borderId="4" xfId="0" applyNumberFormat="1" applyFont="1" applyFill="1" applyBorder="1" applyAlignment="1">
      <alignment horizontal="center" vertical="center"/>
    </xf>
    <xf numFmtId="4" fontId="17" fillId="4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Card Spend / Month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_DATA!$B$1</c:f>
              <c:strCache>
                <c:ptCount val="1"/>
                <c:pt idx="0">
                  <c:v>Card Spend</c:v>
                </c:pt>
              </c:strCache>
            </c:strRef>
          </c:tx>
          <c:spPr>
            <a:solidFill>
              <a:srgbClr val="C9A84C"/>
            </a:solidFill>
            <a:ln>
              <a:prstDash val="solid"/>
            </a:ln>
          </c:spPr>
          <c:invertIfNegative val="1"/>
          <c:cat>
            <c:strRef>
              <c:f>_DATA!$A$2:$A$7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_DATA!$B$2:$B$7</c:f>
              <c:numCache>
                <c:formatCode>General</c:formatCode>
                <c:ptCount val="6"/>
                <c:pt idx="0">
                  <c:v>3745.4</c:v>
                </c:pt>
                <c:pt idx="1">
                  <c:v>9515.9</c:v>
                </c:pt>
                <c:pt idx="2">
                  <c:v>14231.47</c:v>
                </c:pt>
                <c:pt idx="3">
                  <c:v>5330.44</c:v>
                </c:pt>
                <c:pt idx="4">
                  <c:v>3308.38</c:v>
                </c:pt>
                <c:pt idx="5">
                  <c:v>1114.17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76F-B34D-A973-0F0FAB48D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Card Spend (R$)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_DATA!$B$1</c:f>
              <c:strCache>
                <c:ptCount val="1"/>
                <c:pt idx="0">
                  <c:v>Card Spend</c:v>
                </c:pt>
              </c:strCache>
            </c:strRef>
          </c:tx>
          <c:spPr>
            <a:solidFill>
              <a:srgbClr val="8B1A1A"/>
            </a:solidFill>
            <a:ln>
              <a:prstDash val="solid"/>
            </a:ln>
          </c:spPr>
          <c:invertIfNegative val="1"/>
          <c:cat>
            <c:strRef>
              <c:f>_DATA!$A$2:$A$7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_DATA!$B$2:$B$7</c:f>
              <c:numCache>
                <c:formatCode>General</c:formatCode>
                <c:ptCount val="6"/>
                <c:pt idx="0">
                  <c:v>3745.4</c:v>
                </c:pt>
                <c:pt idx="1">
                  <c:v>9515.9</c:v>
                </c:pt>
                <c:pt idx="2">
                  <c:v>14231.47</c:v>
                </c:pt>
                <c:pt idx="3">
                  <c:v>5330.44</c:v>
                </c:pt>
                <c:pt idx="4">
                  <c:v>3308.38</c:v>
                </c:pt>
                <c:pt idx="5">
                  <c:v>1114.17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8AD-8442-81C9-2670E0451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R$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Card Spend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_DATA!$E$1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cat>
            <c:strRef>
              <c:f>_DATA!$D$2:$D$9</c:f>
              <c:strCache>
                <c:ptCount val="8"/>
                <c:pt idx="0">
                  <c:v>Viagem</c:v>
                </c:pt>
                <c:pt idx="1">
                  <c:v>Compras/ML</c:v>
                </c:pt>
                <c:pt idx="2">
                  <c:v>IA/Tecnologia</c:v>
                </c:pt>
                <c:pt idx="3">
                  <c:v>Loteria</c:v>
                </c:pt>
                <c:pt idx="4">
                  <c:v>Outros</c:v>
                </c:pt>
                <c:pt idx="5">
                  <c:v>Internet</c:v>
                </c:pt>
                <c:pt idx="6">
                  <c:v>Assinatura</c:v>
                </c:pt>
                <c:pt idx="7">
                  <c:v>Delivery/iFood</c:v>
                </c:pt>
              </c:strCache>
            </c:strRef>
          </c:cat>
          <c:val>
            <c:numRef>
              <c:f>_DATA!$E$2:$E$9</c:f>
              <c:numCache>
                <c:formatCode>General</c:formatCode>
                <c:ptCount val="8"/>
                <c:pt idx="0">
                  <c:v>9036.83</c:v>
                </c:pt>
                <c:pt idx="1">
                  <c:v>8744.68</c:v>
                </c:pt>
                <c:pt idx="2">
                  <c:v>6624.36</c:v>
                </c:pt>
                <c:pt idx="3">
                  <c:v>6455.1</c:v>
                </c:pt>
                <c:pt idx="4">
                  <c:v>2235.58</c:v>
                </c:pt>
                <c:pt idx="5">
                  <c:v>1413.12</c:v>
                </c:pt>
                <c:pt idx="6">
                  <c:v>1227.5</c:v>
                </c:pt>
                <c:pt idx="7">
                  <c:v>1217.92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2-4647-B0AB-81F270212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Subscription Cost by Decision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_DATA!$K$1</c:f>
              <c:strCache>
                <c:ptCount val="1"/>
                <c:pt idx="0">
                  <c:v>Monthly BRL</c:v>
                </c:pt>
              </c:strCache>
            </c:strRef>
          </c:tx>
          <c:spPr>
            <a:ln>
              <a:prstDash val="solid"/>
            </a:ln>
          </c:spPr>
          <c:cat>
            <c:strRef>
              <c:f>_DATA!$J$2:$J$4</c:f>
              <c:strCache>
                <c:ptCount val="3"/>
                <c:pt idx="0">
                  <c:v>KEEP</c:v>
                </c:pt>
                <c:pt idx="1">
                  <c:v>CANCEL</c:v>
                </c:pt>
                <c:pt idx="2">
                  <c:v>REVIEW</c:v>
                </c:pt>
              </c:strCache>
            </c:strRef>
          </c:cat>
          <c:val>
            <c:numRef>
              <c:f>_DATA!$K$2:$K$4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E-AA4D-B80B-FBFB98C8C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850900</xdr:colOff>
      <xdr:row>37</xdr:row>
      <xdr:rowOff>127000</xdr:rowOff>
    </xdr:from>
    <xdr:ext cx="64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0</xdr:colOff>
      <xdr:row>2</xdr:row>
      <xdr:rowOff>0</xdr:rowOff>
    </xdr:from>
    <xdr:ext cx="576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0</xdr:colOff>
      <xdr:row>31</xdr:row>
      <xdr:rowOff>0</xdr:rowOff>
    </xdr:from>
    <xdr:ext cx="5040000" cy="46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84C"/>
  </sheetPr>
  <dimension ref="A1:O31"/>
  <sheetViews>
    <sheetView showGridLines="0" workbookViewId="0">
      <pane ySplit="3" topLeftCell="A4" activePane="bottomLeft" state="frozen"/>
      <selection pane="bottomLeft" activeCell="N33" sqref="N33"/>
    </sheetView>
  </sheetViews>
  <sheetFormatPr baseColWidth="10" defaultColWidth="8.83203125" defaultRowHeight="15" x14ac:dyDescent="0.2"/>
  <cols>
    <col min="1" max="1" width="2" customWidth="1"/>
    <col min="2" max="2" width="22" customWidth="1"/>
    <col min="3" max="3" width="3" customWidth="1"/>
    <col min="4" max="4" width="18" customWidth="1"/>
    <col min="5" max="5" width="3" customWidth="1"/>
    <col min="6" max="6" width="18" customWidth="1"/>
    <col min="7" max="7" width="3" customWidth="1"/>
    <col min="8" max="8" width="18" customWidth="1"/>
    <col min="9" max="9" width="3" customWidth="1"/>
    <col min="10" max="10" width="18" customWidth="1"/>
    <col min="11" max="11" width="3" customWidth="1"/>
    <col min="12" max="12" width="18" customWidth="1"/>
    <col min="13" max="13" width="3" customWidth="1"/>
    <col min="14" max="14" width="16" customWidth="1"/>
    <col min="15" max="15" width="2" customWidth="1"/>
  </cols>
  <sheetData>
    <row r="1" spans="1:15" ht="28" customHeight="1" x14ac:dyDescent="0.2">
      <c r="A1" s="152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</row>
    <row r="2" spans="1:15" ht="14" customHeight="1" x14ac:dyDescent="0.2">
      <c r="A2" s="152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</row>
    <row r="3" spans="1:15" ht="6" customHeight="1" x14ac:dyDescent="0.2"/>
    <row r="4" spans="1:15" ht="14" customHeight="1" x14ac:dyDescent="0.2">
      <c r="B4" s="155" t="s">
        <v>0</v>
      </c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4"/>
    </row>
    <row r="5" spans="1:15" ht="13" customHeight="1" x14ac:dyDescent="0.2">
      <c r="D5" s="153" t="s">
        <v>1</v>
      </c>
      <c r="E5" s="154"/>
      <c r="J5" s="153" t="s">
        <v>2</v>
      </c>
      <c r="K5" s="154"/>
      <c r="L5" s="152"/>
      <c r="M5" s="152"/>
    </row>
    <row r="6" spans="1:15" ht="32" customHeight="1" x14ac:dyDescent="0.2">
      <c r="D6" s="161" t="str">
        <f>CALC!E162</f>
        <v>R$ 23196,9000</v>
      </c>
      <c r="E6" s="154"/>
      <c r="J6" s="159" t="str">
        <f>CALC!E175</f>
        <v>R$ 4389,6000</v>
      </c>
      <c r="K6" s="154"/>
      <c r="L6" s="152"/>
      <c r="M6" s="152"/>
    </row>
    <row r="8" spans="1:15" ht="4" customHeight="1" x14ac:dyDescent="0.2"/>
    <row r="9" spans="1:15" ht="4" customHeight="1" x14ac:dyDescent="0.2"/>
    <row r="10" spans="1:15" ht="4" customHeight="1" x14ac:dyDescent="0.2"/>
    <row r="11" spans="1:15" ht="4" customHeight="1" x14ac:dyDescent="0.2"/>
    <row r="12" spans="1:15" ht="14" customHeight="1" x14ac:dyDescent="0.2">
      <c r="B12" s="155" t="s">
        <v>3</v>
      </c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4"/>
    </row>
    <row r="13" spans="1:15" ht="13" customHeight="1" x14ac:dyDescent="0.2">
      <c r="B13" s="133" t="s">
        <v>4</v>
      </c>
      <c r="D13" s="133" t="s">
        <v>5</v>
      </c>
      <c r="F13" s="133"/>
      <c r="H13" s="133" t="s">
        <v>6</v>
      </c>
      <c r="J13" s="133" t="s">
        <v>7</v>
      </c>
    </row>
    <row r="14" spans="1:15" ht="32" customHeight="1" x14ac:dyDescent="0.2">
      <c r="B14" s="158" t="str">
        <f>CALC!E170</f>
        <v>R$ 37245,76000</v>
      </c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4"/>
    </row>
    <row r="15" spans="1:15" ht="16" customHeight="1" x14ac:dyDescent="0.2"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</row>
    <row r="16" spans="1:15" ht="14" customHeight="1" x14ac:dyDescent="0.2">
      <c r="B16" s="155" t="s">
        <v>8</v>
      </c>
      <c r="C16" s="152"/>
      <c r="D16" s="156"/>
      <c r="E16" s="152"/>
      <c r="F16" s="156"/>
      <c r="G16" s="152"/>
      <c r="H16" s="156"/>
      <c r="I16" s="152"/>
      <c r="J16" s="156"/>
      <c r="K16" s="152"/>
      <c r="L16" s="156"/>
      <c r="M16" s="152"/>
    </row>
    <row r="17" spans="2:14" ht="13" customHeight="1" x14ac:dyDescent="0.2">
      <c r="B17" s="136" t="s">
        <v>9</v>
      </c>
      <c r="F17" s="136" t="s">
        <v>10</v>
      </c>
      <c r="J17" s="136" t="s">
        <v>11</v>
      </c>
    </row>
    <row r="18" spans="2:14" ht="20" customHeight="1" x14ac:dyDescent="0.2">
      <c r="B18" s="137" t="str">
        <f>CALC!C488</f>
        <v>▲</v>
      </c>
      <c r="C18" s="138" t="str">
        <f>CALC!D488</f>
        <v>-66.3%</v>
      </c>
      <c r="F18" s="137" t="str">
        <f>CALC!C490</f>
        <v>▲</v>
      </c>
      <c r="G18" s="138" t="str">
        <f>CALC!D490</f>
        <v>-98.0%</v>
      </c>
      <c r="J18" s="137" t="str">
        <f>CALC!C493</f>
        <v>▲</v>
      </c>
      <c r="K18" s="138" t="str">
        <f>CALC!D493</f>
        <v>+0.0%</v>
      </c>
    </row>
    <row r="19" spans="2:14" ht="18" customHeight="1" x14ac:dyDescent="0.2"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</row>
    <row r="20" spans="2:14" ht="14" customHeight="1" x14ac:dyDescent="0.2">
      <c r="B20" s="155" t="s">
        <v>12</v>
      </c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4"/>
    </row>
    <row r="21" spans="2:14" ht="13" customHeight="1" x14ac:dyDescent="0.2">
      <c r="B21" s="139" t="s">
        <v>13</v>
      </c>
      <c r="C21" s="139" t="s">
        <v>14</v>
      </c>
      <c r="D21" s="139" t="s">
        <v>15</v>
      </c>
      <c r="E21" s="139" t="s">
        <v>16</v>
      </c>
      <c r="F21" s="139"/>
      <c r="G21" s="139"/>
      <c r="H21" s="139"/>
      <c r="I21" s="139" t="s">
        <v>17</v>
      </c>
      <c r="J21" s="139" t="s">
        <v>18</v>
      </c>
    </row>
    <row r="22" spans="2:14" ht="16" customHeight="1" x14ac:dyDescent="0.2">
      <c r="B22" s="140" t="s">
        <v>13</v>
      </c>
      <c r="C22" s="141" t="s">
        <v>19</v>
      </c>
      <c r="D22" s="62" t="s">
        <v>20</v>
      </c>
      <c r="E22" s="157" t="s">
        <v>21</v>
      </c>
      <c r="F22" s="156"/>
      <c r="G22" s="156"/>
      <c r="H22" s="154"/>
      <c r="I22" s="142" t="s">
        <v>22</v>
      </c>
      <c r="J22" s="62" t="s">
        <v>23</v>
      </c>
    </row>
    <row r="23" spans="2:14" ht="16" customHeight="1" x14ac:dyDescent="0.2">
      <c r="B23" s="143" t="s">
        <v>24</v>
      </c>
      <c r="C23" s="135" t="s">
        <v>25</v>
      </c>
      <c r="D23" s="144" t="s">
        <v>26</v>
      </c>
      <c r="E23" s="162" t="s">
        <v>27</v>
      </c>
      <c r="F23" s="156"/>
      <c r="G23" s="156"/>
      <c r="H23" s="154"/>
      <c r="I23" s="145" t="s">
        <v>28</v>
      </c>
      <c r="J23" s="144" t="s">
        <v>29</v>
      </c>
    </row>
    <row r="24" spans="2:14" ht="16" customHeight="1" x14ac:dyDescent="0.2">
      <c r="B24" s="143" t="s">
        <v>30</v>
      </c>
      <c r="C24" s="135" t="s">
        <v>25</v>
      </c>
      <c r="D24" s="144" t="s">
        <v>31</v>
      </c>
      <c r="E24" s="162" t="s">
        <v>32</v>
      </c>
      <c r="F24" s="156"/>
      <c r="G24" s="156"/>
      <c r="H24" s="154"/>
      <c r="I24" s="145" t="s">
        <v>28</v>
      </c>
      <c r="J24" s="144" t="s">
        <v>29</v>
      </c>
    </row>
    <row r="25" spans="2:14" ht="16" customHeight="1" x14ac:dyDescent="0.2">
      <c r="B25" s="146" t="s">
        <v>33</v>
      </c>
      <c r="C25" s="134" t="s">
        <v>34</v>
      </c>
      <c r="D25" s="147" t="s">
        <v>35</v>
      </c>
      <c r="E25" s="160" t="s">
        <v>36</v>
      </c>
      <c r="F25" s="156"/>
      <c r="G25" s="156"/>
      <c r="H25" s="154"/>
      <c r="I25" s="148">
        <v>23196.9</v>
      </c>
      <c r="J25" s="147" t="s">
        <v>29</v>
      </c>
    </row>
    <row r="26" spans="2:14" ht="16" customHeight="1" x14ac:dyDescent="0.2">
      <c r="B26" s="146" t="s">
        <v>37</v>
      </c>
      <c r="C26" s="134" t="s">
        <v>34</v>
      </c>
      <c r="D26" s="147" t="s">
        <v>38</v>
      </c>
      <c r="E26" s="160" t="s">
        <v>39</v>
      </c>
      <c r="F26" s="156"/>
      <c r="G26" s="156"/>
      <c r="H26" s="154"/>
      <c r="I26" s="148">
        <v>6455.1</v>
      </c>
      <c r="J26" s="147" t="s">
        <v>29</v>
      </c>
    </row>
    <row r="27" spans="2:14" ht="16" customHeight="1" x14ac:dyDescent="0.2">
      <c r="B27" s="140" t="s">
        <v>40</v>
      </c>
      <c r="C27" s="149" t="s">
        <v>41</v>
      </c>
      <c r="D27" s="62" t="s">
        <v>42</v>
      </c>
      <c r="E27" s="157" t="s">
        <v>43</v>
      </c>
      <c r="F27" s="156"/>
      <c r="G27" s="156"/>
      <c r="H27" s="154"/>
      <c r="I27" s="150">
        <v>6624.3600000000006</v>
      </c>
      <c r="J27" s="62" t="s">
        <v>29</v>
      </c>
    </row>
    <row r="28" spans="2:14" ht="16" customHeight="1" x14ac:dyDescent="0.2">
      <c r="B28" s="140" t="s">
        <v>44</v>
      </c>
      <c r="C28" s="149" t="s">
        <v>41</v>
      </c>
      <c r="D28" s="62" t="s">
        <v>45</v>
      </c>
      <c r="E28" s="157" t="s">
        <v>46</v>
      </c>
      <c r="F28" s="156"/>
      <c r="G28" s="156"/>
      <c r="H28" s="154"/>
      <c r="I28" s="150">
        <v>9036.83</v>
      </c>
      <c r="J28" s="62" t="s">
        <v>29</v>
      </c>
    </row>
    <row r="29" spans="2:14" ht="16" customHeight="1" x14ac:dyDescent="0.2">
      <c r="B29" s="140" t="s">
        <v>47</v>
      </c>
      <c r="C29" s="149" t="s">
        <v>41</v>
      </c>
      <c r="D29" s="62" t="s">
        <v>48</v>
      </c>
      <c r="E29" s="157" t="s">
        <v>49</v>
      </c>
      <c r="F29" s="156"/>
      <c r="G29" s="156"/>
      <c r="H29" s="154"/>
      <c r="I29" s="150">
        <v>31570.45</v>
      </c>
      <c r="J29" s="62" t="s">
        <v>29</v>
      </c>
    </row>
    <row r="31" spans="2:14" x14ac:dyDescent="0.2">
      <c r="B31" s="151" t="s">
        <v>50</v>
      </c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</row>
  </sheetData>
  <mergeCells count="29">
    <mergeCell ref="E27:H27"/>
    <mergeCell ref="E22:H22"/>
    <mergeCell ref="D6:E6"/>
    <mergeCell ref="E24:H24"/>
    <mergeCell ref="E23:H23"/>
    <mergeCell ref="B20:M20"/>
    <mergeCell ref="J15:K15"/>
    <mergeCell ref="L15:M15"/>
    <mergeCell ref="L5:M5"/>
    <mergeCell ref="L6:M6"/>
    <mergeCell ref="E26:H26"/>
    <mergeCell ref="J5:K5"/>
    <mergeCell ref="E25:H25"/>
    <mergeCell ref="B31:M31"/>
    <mergeCell ref="D5:E5"/>
    <mergeCell ref="H15:I15"/>
    <mergeCell ref="A1:O1"/>
    <mergeCell ref="B19:N19"/>
    <mergeCell ref="B12:M12"/>
    <mergeCell ref="E29:H29"/>
    <mergeCell ref="E28:H28"/>
    <mergeCell ref="B16:M16"/>
    <mergeCell ref="B14:N14"/>
    <mergeCell ref="B15:C15"/>
    <mergeCell ref="D15:E15"/>
    <mergeCell ref="A2:O2"/>
    <mergeCell ref="F15:G15"/>
    <mergeCell ref="J6:K6"/>
    <mergeCell ref="B4:N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634"/>
  <sheetViews>
    <sheetView workbookViewId="0"/>
  </sheetViews>
  <sheetFormatPr baseColWidth="10" defaultColWidth="8.83203125" defaultRowHeight="15" x14ac:dyDescent="0.2"/>
  <cols>
    <col min="1" max="1" width="3" customWidth="1"/>
    <col min="2" max="2" width="22" customWidth="1"/>
    <col min="3" max="3" width="18" customWidth="1"/>
    <col min="4" max="10" width="16" customWidth="1"/>
  </cols>
  <sheetData>
    <row r="1" spans="2:10" ht="20" customHeight="1" x14ac:dyDescent="0.2">
      <c r="B1" s="173" t="s">
        <v>51</v>
      </c>
      <c r="C1" s="152"/>
      <c r="D1" s="152"/>
      <c r="E1" s="152"/>
      <c r="F1" s="152"/>
      <c r="G1" s="152"/>
      <c r="H1" s="152"/>
      <c r="I1" s="152"/>
      <c r="J1" s="152"/>
    </row>
    <row r="2" spans="2:10" x14ac:dyDescent="0.2">
      <c r="B2" s="170" t="s">
        <v>52</v>
      </c>
      <c r="C2" s="152"/>
      <c r="D2" s="152"/>
      <c r="E2" s="152"/>
      <c r="F2" s="152"/>
      <c r="G2" s="152"/>
      <c r="H2" s="152"/>
      <c r="I2" s="152"/>
      <c r="J2" s="152"/>
    </row>
    <row r="4" spans="2:10" ht="16" customHeight="1" x14ac:dyDescent="0.2">
      <c r="B4" s="167" t="s">
        <v>53</v>
      </c>
      <c r="C4" s="156"/>
      <c r="D4" s="156"/>
      <c r="E4" s="156"/>
      <c r="F4" s="156"/>
      <c r="G4" s="156"/>
      <c r="H4" s="156"/>
      <c r="I4" s="156"/>
      <c r="J4" s="154"/>
    </row>
    <row r="5" spans="2:10" x14ac:dyDescent="0.2">
      <c r="B5" s="53" t="s">
        <v>54</v>
      </c>
      <c r="C5" s="53" t="s">
        <v>55</v>
      </c>
      <c r="D5" s="53" t="s">
        <v>56</v>
      </c>
      <c r="E5" s="53" t="s">
        <v>57</v>
      </c>
      <c r="F5" s="53" t="s">
        <v>58</v>
      </c>
      <c r="G5" s="53" t="s">
        <v>23</v>
      </c>
    </row>
    <row r="6" spans="2:10" x14ac:dyDescent="0.2">
      <c r="B6" s="54" t="s">
        <v>59</v>
      </c>
      <c r="C6" s="55">
        <v>18934.669999999998</v>
      </c>
      <c r="D6" s="56">
        <v>42112.59</v>
      </c>
      <c r="E6" s="54" t="s">
        <v>60</v>
      </c>
      <c r="F6" s="57" t="s">
        <v>61</v>
      </c>
      <c r="G6" s="58" t="s">
        <v>62</v>
      </c>
    </row>
    <row r="7" spans="2:10" x14ac:dyDescent="0.2">
      <c r="B7" s="59" t="s">
        <v>63</v>
      </c>
      <c r="C7" s="60">
        <v>4262.2299999999996</v>
      </c>
      <c r="D7" s="61">
        <v>10102.81</v>
      </c>
      <c r="E7" s="59" t="s">
        <v>60</v>
      </c>
      <c r="F7" s="62" t="s">
        <v>64</v>
      </c>
      <c r="G7" s="63" t="s">
        <v>62</v>
      </c>
    </row>
    <row r="8" spans="2:10" x14ac:dyDescent="0.2">
      <c r="B8" s="54" t="s">
        <v>65</v>
      </c>
      <c r="C8" s="56">
        <v>0</v>
      </c>
      <c r="D8" s="56">
        <v>0</v>
      </c>
      <c r="E8" s="54" t="s">
        <v>66</v>
      </c>
      <c r="F8" s="57" t="s">
        <v>61</v>
      </c>
      <c r="G8" s="58" t="s">
        <v>62</v>
      </c>
    </row>
    <row r="9" spans="2:10" x14ac:dyDescent="0.2">
      <c r="B9" s="59" t="s">
        <v>67</v>
      </c>
      <c r="C9" s="61">
        <v>0</v>
      </c>
      <c r="D9" s="61">
        <v>0</v>
      </c>
      <c r="E9" s="59" t="s">
        <v>68</v>
      </c>
      <c r="F9" s="62" t="s">
        <v>69</v>
      </c>
      <c r="G9" s="63" t="s">
        <v>70</v>
      </c>
    </row>
    <row r="10" spans="2:10" x14ac:dyDescent="0.2">
      <c r="B10" s="64" t="s">
        <v>1</v>
      </c>
      <c r="C10" s="65">
        <f>SUM(C6:C9)</f>
        <v>23196.899999999998</v>
      </c>
    </row>
    <row r="12" spans="2:10" x14ac:dyDescent="0.2">
      <c r="B12" s="167" t="s">
        <v>71</v>
      </c>
      <c r="C12" s="156"/>
      <c r="D12" s="156"/>
      <c r="E12" s="156"/>
      <c r="F12" s="156"/>
      <c r="G12" s="156"/>
      <c r="H12" s="156"/>
      <c r="I12" s="156"/>
      <c r="J12" s="154"/>
    </row>
    <row r="63" spans="2:10" x14ac:dyDescent="0.2">
      <c r="B63" s="167" t="s">
        <v>72</v>
      </c>
      <c r="C63" s="156"/>
      <c r="D63" s="156"/>
      <c r="E63" s="156"/>
      <c r="F63" s="156"/>
      <c r="G63" s="156"/>
      <c r="H63" s="156"/>
      <c r="I63" s="156"/>
      <c r="J63" s="154"/>
    </row>
    <row r="64" spans="2:10" x14ac:dyDescent="0.2">
      <c r="B64" s="53" t="s">
        <v>73</v>
      </c>
      <c r="C64" s="53" t="s">
        <v>74</v>
      </c>
      <c r="D64" s="53" t="s">
        <v>75</v>
      </c>
      <c r="E64" s="53" t="s">
        <v>76</v>
      </c>
      <c r="F64" s="53" t="s">
        <v>77</v>
      </c>
    </row>
    <row r="65" spans="2:10" x14ac:dyDescent="0.2">
      <c r="B65" s="57" t="s">
        <v>78</v>
      </c>
      <c r="C65" s="68">
        <v>3745.4</v>
      </c>
      <c r="D65" s="73">
        <v>18</v>
      </c>
      <c r="E65" s="68">
        <v>-2462.2266666666669</v>
      </c>
      <c r="F65" s="56">
        <v>3745.4</v>
      </c>
    </row>
    <row r="66" spans="2:10" x14ac:dyDescent="0.2">
      <c r="B66" s="62" t="s">
        <v>79</v>
      </c>
      <c r="C66" s="66">
        <v>9515.9</v>
      </c>
      <c r="D66" s="76">
        <v>21</v>
      </c>
      <c r="E66" s="60">
        <v>3308.2733333333331</v>
      </c>
      <c r="F66" s="61">
        <v>13261.3</v>
      </c>
    </row>
    <row r="67" spans="2:10" x14ac:dyDescent="0.2">
      <c r="B67" s="57" t="s">
        <v>80</v>
      </c>
      <c r="C67" s="68">
        <v>14231.47</v>
      </c>
      <c r="D67" s="73">
        <v>32</v>
      </c>
      <c r="E67" s="55">
        <v>8023.8433333333342</v>
      </c>
      <c r="F67" s="56">
        <v>27492.77</v>
      </c>
    </row>
    <row r="68" spans="2:10" x14ac:dyDescent="0.2">
      <c r="B68" s="62" t="s">
        <v>81</v>
      </c>
      <c r="C68" s="66">
        <v>5330.44</v>
      </c>
      <c r="D68" s="76">
        <v>33</v>
      </c>
      <c r="E68" s="66">
        <v>-877.18666666666741</v>
      </c>
      <c r="F68" s="61">
        <v>32823.21</v>
      </c>
    </row>
    <row r="69" spans="2:10" x14ac:dyDescent="0.2">
      <c r="B69" s="57" t="s">
        <v>82</v>
      </c>
      <c r="C69" s="68">
        <v>3308.38</v>
      </c>
      <c r="D69" s="73">
        <v>29</v>
      </c>
      <c r="E69" s="68">
        <v>-2899.2466666666669</v>
      </c>
      <c r="F69" s="56">
        <v>36131.589999999997</v>
      </c>
    </row>
    <row r="70" spans="2:10" x14ac:dyDescent="0.2">
      <c r="B70" s="62" t="s">
        <v>83</v>
      </c>
      <c r="C70" s="66">
        <v>1114.17</v>
      </c>
      <c r="D70" s="76">
        <v>13</v>
      </c>
      <c r="E70" s="66">
        <v>-5093.4566666666669</v>
      </c>
      <c r="F70" s="61">
        <v>37245.759999999987</v>
      </c>
    </row>
    <row r="71" spans="2:10" x14ac:dyDescent="0.2">
      <c r="B71" s="64" t="s">
        <v>84</v>
      </c>
      <c r="C71" s="65">
        <v>37245.760000000002</v>
      </c>
      <c r="D71" s="77">
        <v>146</v>
      </c>
      <c r="E71" s="78"/>
      <c r="F71" s="78"/>
    </row>
    <row r="73" spans="2:10" x14ac:dyDescent="0.2">
      <c r="B73" s="167" t="s">
        <v>85</v>
      </c>
      <c r="C73" s="156"/>
      <c r="D73" s="156"/>
      <c r="E73" s="156"/>
      <c r="F73" s="156"/>
      <c r="G73" s="156"/>
      <c r="H73" s="156"/>
      <c r="I73" s="156"/>
      <c r="J73" s="154"/>
    </row>
    <row r="74" spans="2:10" x14ac:dyDescent="0.2">
      <c r="B74" s="53" t="s">
        <v>73</v>
      </c>
      <c r="C74" s="53" t="s">
        <v>86</v>
      </c>
      <c r="D74" s="53" t="s">
        <v>87</v>
      </c>
      <c r="E74" s="53" t="s">
        <v>88</v>
      </c>
      <c r="F74" s="53" t="s">
        <v>89</v>
      </c>
    </row>
    <row r="75" spans="2:10" x14ac:dyDescent="0.2">
      <c r="B75" s="57" t="s">
        <v>83</v>
      </c>
      <c r="C75" s="56">
        <v>1114.17</v>
      </c>
      <c r="D75" s="56">
        <v>3308.38</v>
      </c>
      <c r="E75" s="79">
        <v>-0.66322792424086707</v>
      </c>
      <c r="F75" s="69" t="s">
        <v>90</v>
      </c>
    </row>
    <row r="76" spans="2:10" x14ac:dyDescent="0.2">
      <c r="B76" s="62" t="s">
        <v>82</v>
      </c>
      <c r="C76" s="61">
        <v>3308.38</v>
      </c>
      <c r="D76" s="61">
        <v>5330.44</v>
      </c>
      <c r="E76" s="80">
        <v>-0.37934204305835911</v>
      </c>
      <c r="F76" s="67" t="s">
        <v>90</v>
      </c>
    </row>
    <row r="77" spans="2:10" x14ac:dyDescent="0.2">
      <c r="B77" s="57" t="s">
        <v>81</v>
      </c>
      <c r="C77" s="56">
        <v>5330.44</v>
      </c>
      <c r="D77" s="56">
        <v>14231.47</v>
      </c>
      <c r="E77" s="79">
        <v>-0.62544698474577831</v>
      </c>
      <c r="F77" s="69" t="s">
        <v>90</v>
      </c>
    </row>
    <row r="78" spans="2:10" x14ac:dyDescent="0.2">
      <c r="B78" s="62" t="s">
        <v>80</v>
      </c>
      <c r="C78" s="61">
        <v>14231.47</v>
      </c>
      <c r="D78" s="61">
        <v>9515.9</v>
      </c>
      <c r="E78" s="81">
        <v>0.49554640128626842</v>
      </c>
      <c r="F78" s="63" t="s">
        <v>91</v>
      </c>
    </row>
    <row r="79" spans="2:10" x14ac:dyDescent="0.2">
      <c r="B79" s="57" t="s">
        <v>79</v>
      </c>
      <c r="C79" s="56">
        <v>9515.9</v>
      </c>
      <c r="D79" s="56">
        <v>3745.4</v>
      </c>
      <c r="E79" s="82">
        <v>1.540689912959897</v>
      </c>
      <c r="F79" s="58" t="s">
        <v>91</v>
      </c>
    </row>
    <row r="80" spans="2:10" x14ac:dyDescent="0.2">
      <c r="B80" s="62" t="s">
        <v>78</v>
      </c>
      <c r="C80" s="61">
        <v>3745.4</v>
      </c>
      <c r="D80" s="61">
        <v>0</v>
      </c>
      <c r="E80" s="81">
        <v>0</v>
      </c>
      <c r="F80" s="63" t="s">
        <v>91</v>
      </c>
    </row>
    <row r="82" spans="2:10" x14ac:dyDescent="0.2">
      <c r="B82" s="167" t="s">
        <v>92</v>
      </c>
      <c r="C82" s="156"/>
      <c r="D82" s="156"/>
      <c r="E82" s="156"/>
      <c r="F82" s="156"/>
      <c r="G82" s="156"/>
      <c r="H82" s="156"/>
      <c r="I82" s="156"/>
      <c r="J82" s="154"/>
    </row>
    <row r="83" spans="2:10" x14ac:dyDescent="0.2">
      <c r="B83" s="53" t="s">
        <v>93</v>
      </c>
      <c r="C83" s="53" t="s">
        <v>94</v>
      </c>
      <c r="D83" s="53" t="s">
        <v>95</v>
      </c>
      <c r="E83" s="53" t="s">
        <v>96</v>
      </c>
      <c r="F83" s="53" t="s">
        <v>75</v>
      </c>
      <c r="G83" s="53" t="s">
        <v>97</v>
      </c>
    </row>
    <row r="84" spans="2:10" x14ac:dyDescent="0.2">
      <c r="B84" s="54" t="s">
        <v>98</v>
      </c>
      <c r="C84" s="56">
        <v>9036.83</v>
      </c>
      <c r="D84" s="83">
        <v>0.242627080236784</v>
      </c>
      <c r="E84" s="56">
        <v>1506.1383333333331</v>
      </c>
      <c r="F84" s="73">
        <v>1</v>
      </c>
      <c r="G84" s="54" t="s">
        <v>99</v>
      </c>
    </row>
    <row r="85" spans="2:10" x14ac:dyDescent="0.2">
      <c r="B85" s="59" t="s">
        <v>100</v>
      </c>
      <c r="C85" s="61">
        <v>8744.6799999999985</v>
      </c>
      <c r="D85" s="84">
        <v>0.23478323438694759</v>
      </c>
      <c r="E85" s="61">
        <v>1457.446666666666</v>
      </c>
      <c r="F85" s="76">
        <v>9</v>
      </c>
      <c r="G85" s="59" t="s">
        <v>99</v>
      </c>
    </row>
    <row r="86" spans="2:10" x14ac:dyDescent="0.2">
      <c r="B86" s="54" t="s">
        <v>101</v>
      </c>
      <c r="C86" s="68">
        <v>6624.3600000000006</v>
      </c>
      <c r="D86" s="85">
        <v>0.17785541226706081</v>
      </c>
      <c r="E86" s="56">
        <v>1104.06</v>
      </c>
      <c r="F86" s="73">
        <v>37</v>
      </c>
      <c r="G86" s="75" t="s">
        <v>102</v>
      </c>
    </row>
    <row r="87" spans="2:10" x14ac:dyDescent="0.2">
      <c r="B87" s="59" t="s">
        <v>103</v>
      </c>
      <c r="C87" s="66">
        <v>6455.1</v>
      </c>
      <c r="D87" s="86">
        <v>0.17331100237986821</v>
      </c>
      <c r="E87" s="61">
        <v>1075.8499999999999</v>
      </c>
      <c r="F87" s="76">
        <v>39</v>
      </c>
      <c r="G87" s="87" t="s">
        <v>102</v>
      </c>
    </row>
    <row r="88" spans="2:10" x14ac:dyDescent="0.2">
      <c r="B88" s="54" t="s">
        <v>104</v>
      </c>
      <c r="C88" s="56">
        <v>2235.58</v>
      </c>
      <c r="D88" s="83">
        <v>6.0022402549981521E-2</v>
      </c>
      <c r="E88" s="56">
        <v>372.59666666666658</v>
      </c>
      <c r="F88" s="73">
        <v>9</v>
      </c>
      <c r="G88" s="54" t="s">
        <v>105</v>
      </c>
    </row>
    <row r="89" spans="2:10" x14ac:dyDescent="0.2">
      <c r="B89" s="59" t="s">
        <v>106</v>
      </c>
      <c r="C89" s="60">
        <v>1413.12</v>
      </c>
      <c r="D89" s="88">
        <v>3.7940425970633983E-2</v>
      </c>
      <c r="E89" s="61">
        <v>235.52</v>
      </c>
      <c r="F89" s="76">
        <v>6</v>
      </c>
      <c r="G89" s="89" t="s">
        <v>107</v>
      </c>
    </row>
    <row r="90" spans="2:10" x14ac:dyDescent="0.2">
      <c r="B90" s="54" t="s">
        <v>108</v>
      </c>
      <c r="C90" s="56">
        <v>1227.5</v>
      </c>
      <c r="D90" s="83">
        <v>3.295677145532807E-2</v>
      </c>
      <c r="E90" s="56">
        <v>204.58333333333329</v>
      </c>
      <c r="F90" s="73">
        <v>19</v>
      </c>
      <c r="G90" s="54" t="s">
        <v>99</v>
      </c>
    </row>
    <row r="91" spans="2:10" x14ac:dyDescent="0.2">
      <c r="B91" s="59" t="s">
        <v>109</v>
      </c>
      <c r="C91" s="60">
        <v>1217.92</v>
      </c>
      <c r="D91" s="88">
        <v>3.2699560970161433E-2</v>
      </c>
      <c r="E91" s="61">
        <v>202.98666666666671</v>
      </c>
      <c r="F91" s="76">
        <v>14</v>
      </c>
      <c r="G91" s="89" t="s">
        <v>107</v>
      </c>
    </row>
    <row r="92" spans="2:10" x14ac:dyDescent="0.2">
      <c r="B92" s="54" t="s">
        <v>110</v>
      </c>
      <c r="C92" s="56">
        <v>205.34</v>
      </c>
      <c r="D92" s="83">
        <v>5.5131107540831491E-3</v>
      </c>
      <c r="E92" s="56">
        <v>34.223333333333343</v>
      </c>
      <c r="F92" s="73">
        <v>10</v>
      </c>
      <c r="G92" s="54" t="s">
        <v>99</v>
      </c>
    </row>
    <row r="93" spans="2:10" x14ac:dyDescent="0.2">
      <c r="B93" s="59" t="s">
        <v>111</v>
      </c>
      <c r="C93" s="60">
        <v>74.430000000000007</v>
      </c>
      <c r="D93" s="88">
        <v>1.998348268366654E-3</v>
      </c>
      <c r="E93" s="61">
        <v>12.404999999999999</v>
      </c>
      <c r="F93" s="76">
        <v>1</v>
      </c>
      <c r="G93" s="89" t="s">
        <v>107</v>
      </c>
    </row>
    <row r="94" spans="2:10" x14ac:dyDescent="0.2">
      <c r="B94" s="54" t="s">
        <v>60</v>
      </c>
      <c r="C94" s="56">
        <v>10.9</v>
      </c>
      <c r="D94" s="83">
        <v>2.9265076078458332E-4</v>
      </c>
      <c r="E94" s="56">
        <v>1.8166666666666671</v>
      </c>
      <c r="F94" s="73">
        <v>1</v>
      </c>
      <c r="G94" s="54" t="s">
        <v>105</v>
      </c>
    </row>
    <row r="96" spans="2:10" x14ac:dyDescent="0.2">
      <c r="B96" s="167" t="s">
        <v>112</v>
      </c>
      <c r="C96" s="156"/>
      <c r="D96" s="156"/>
      <c r="E96" s="156"/>
      <c r="F96" s="156"/>
      <c r="G96" s="156"/>
      <c r="H96" s="156"/>
      <c r="I96" s="156"/>
      <c r="J96" s="154"/>
    </row>
    <row r="97" spans="2:9" x14ac:dyDescent="0.2">
      <c r="B97" s="53" t="s">
        <v>113</v>
      </c>
      <c r="C97" s="53" t="s">
        <v>114</v>
      </c>
      <c r="D97" s="53" t="s">
        <v>115</v>
      </c>
      <c r="E97" s="53" t="s">
        <v>93</v>
      </c>
      <c r="F97" s="53" t="s">
        <v>116</v>
      </c>
      <c r="G97" s="53" t="s">
        <v>117</v>
      </c>
      <c r="H97" s="53" t="s">
        <v>118</v>
      </c>
      <c r="I97" s="53" t="s">
        <v>119</v>
      </c>
    </row>
    <row r="98" spans="2:9" x14ac:dyDescent="0.2">
      <c r="B98" s="54" t="s">
        <v>120</v>
      </c>
      <c r="C98" s="54" t="s">
        <v>121</v>
      </c>
      <c r="D98" s="68">
        <v>92</v>
      </c>
      <c r="E98" s="54" t="s">
        <v>122</v>
      </c>
      <c r="F98" s="69" t="s">
        <v>34</v>
      </c>
      <c r="G98" s="69" t="s">
        <v>123</v>
      </c>
      <c r="H98" s="68">
        <v>1104</v>
      </c>
      <c r="I98" s="54" t="s">
        <v>124</v>
      </c>
    </row>
    <row r="99" spans="2:9" x14ac:dyDescent="0.2">
      <c r="B99" s="59" t="s">
        <v>120</v>
      </c>
      <c r="C99" s="59" t="s">
        <v>121</v>
      </c>
      <c r="D99" s="66">
        <v>92</v>
      </c>
      <c r="E99" s="59" t="s">
        <v>122</v>
      </c>
      <c r="F99" s="67" t="s">
        <v>34</v>
      </c>
      <c r="G99" s="67" t="s">
        <v>123</v>
      </c>
      <c r="H99" s="66">
        <v>1104</v>
      </c>
      <c r="I99" s="59" t="s">
        <v>124</v>
      </c>
    </row>
    <row r="100" spans="2:9" x14ac:dyDescent="0.2">
      <c r="B100" s="54" t="s">
        <v>125</v>
      </c>
      <c r="C100" s="54" t="s">
        <v>126</v>
      </c>
      <c r="D100" s="55">
        <v>106</v>
      </c>
      <c r="E100" s="54" t="s">
        <v>127</v>
      </c>
      <c r="F100" s="57" t="s">
        <v>41</v>
      </c>
      <c r="G100" s="58" t="s">
        <v>128</v>
      </c>
      <c r="H100" s="55">
        <v>1272</v>
      </c>
      <c r="I100" s="54" t="s">
        <v>129</v>
      </c>
    </row>
    <row r="101" spans="2:9" x14ac:dyDescent="0.2">
      <c r="B101" s="59" t="s">
        <v>130</v>
      </c>
      <c r="C101" s="59" t="s">
        <v>121</v>
      </c>
      <c r="D101" s="90">
        <v>96.99</v>
      </c>
      <c r="E101" s="59" t="s">
        <v>131</v>
      </c>
      <c r="F101" s="67" t="s">
        <v>34</v>
      </c>
      <c r="G101" s="91" t="s">
        <v>132</v>
      </c>
      <c r="H101" s="90">
        <v>1163.8800000000001</v>
      </c>
      <c r="I101" s="59" t="s">
        <v>133</v>
      </c>
    </row>
    <row r="102" spans="2:9" x14ac:dyDescent="0.2">
      <c r="B102" s="54" t="s">
        <v>134</v>
      </c>
      <c r="C102" s="54" t="s">
        <v>135</v>
      </c>
      <c r="D102" s="92">
        <v>0</v>
      </c>
      <c r="E102" s="54" t="s">
        <v>136</v>
      </c>
      <c r="F102" s="57" t="s">
        <v>137</v>
      </c>
      <c r="G102" s="93" t="s">
        <v>132</v>
      </c>
      <c r="H102" s="92">
        <v>0</v>
      </c>
      <c r="I102" s="54" t="s">
        <v>133</v>
      </c>
    </row>
    <row r="103" spans="2:9" x14ac:dyDescent="0.2">
      <c r="B103" s="59" t="s">
        <v>134</v>
      </c>
      <c r="C103" s="59" t="s">
        <v>135</v>
      </c>
      <c r="D103" s="90">
        <v>418.43</v>
      </c>
      <c r="E103" s="59" t="s">
        <v>136</v>
      </c>
      <c r="F103" s="62" t="s">
        <v>137</v>
      </c>
      <c r="G103" s="91" t="s">
        <v>132</v>
      </c>
      <c r="H103" s="90">
        <v>5021.16</v>
      </c>
      <c r="I103" s="59" t="s">
        <v>133</v>
      </c>
    </row>
    <row r="104" spans="2:9" x14ac:dyDescent="0.2">
      <c r="B104" s="54" t="s">
        <v>138</v>
      </c>
      <c r="C104" s="54" t="s">
        <v>121</v>
      </c>
      <c r="D104" s="55">
        <v>106</v>
      </c>
      <c r="E104" s="54" t="s">
        <v>139</v>
      </c>
      <c r="F104" s="57" t="s">
        <v>41</v>
      </c>
      <c r="G104" s="58" t="s">
        <v>128</v>
      </c>
      <c r="H104" s="55">
        <v>1272</v>
      </c>
      <c r="I104" s="54" t="s">
        <v>129</v>
      </c>
    </row>
    <row r="105" spans="2:9" x14ac:dyDescent="0.2">
      <c r="B105" s="59" t="s">
        <v>140</v>
      </c>
      <c r="C105" s="59" t="s">
        <v>141</v>
      </c>
      <c r="D105" s="90">
        <v>45.37</v>
      </c>
      <c r="E105" s="59" t="s">
        <v>142</v>
      </c>
      <c r="F105" s="62" t="s">
        <v>137</v>
      </c>
      <c r="G105" s="91" t="s">
        <v>132</v>
      </c>
      <c r="H105" s="90">
        <v>544.43999999999994</v>
      </c>
      <c r="I105" s="59" t="s">
        <v>133</v>
      </c>
    </row>
    <row r="106" spans="2:9" x14ac:dyDescent="0.2">
      <c r="B106" s="54" t="s">
        <v>143</v>
      </c>
      <c r="C106" s="54" t="s">
        <v>144</v>
      </c>
      <c r="D106" s="92">
        <v>15.40833333333333</v>
      </c>
      <c r="E106" s="54" t="s">
        <v>145</v>
      </c>
      <c r="F106" s="57" t="s">
        <v>146</v>
      </c>
      <c r="G106" s="93" t="s">
        <v>132</v>
      </c>
      <c r="H106" s="92">
        <v>184.89999999999989</v>
      </c>
      <c r="I106" s="54" t="s">
        <v>133</v>
      </c>
    </row>
    <row r="107" spans="2:9" x14ac:dyDescent="0.2">
      <c r="B107" s="59" t="s">
        <v>147</v>
      </c>
      <c r="C107" s="59" t="s">
        <v>148</v>
      </c>
      <c r="D107" s="66">
        <v>149.9</v>
      </c>
      <c r="E107" s="59" t="s">
        <v>149</v>
      </c>
      <c r="F107" s="67" t="s">
        <v>34</v>
      </c>
      <c r="G107" s="67" t="s">
        <v>123</v>
      </c>
      <c r="H107" s="66">
        <v>1798.8</v>
      </c>
      <c r="I107" s="59" t="s">
        <v>124</v>
      </c>
    </row>
    <row r="108" spans="2:9" x14ac:dyDescent="0.2">
      <c r="B108" s="54" t="s">
        <v>150</v>
      </c>
      <c r="C108" s="54" t="s">
        <v>151</v>
      </c>
      <c r="D108" s="55">
        <v>19.899999999999999</v>
      </c>
      <c r="E108" s="54" t="s">
        <v>152</v>
      </c>
      <c r="F108" s="57" t="s">
        <v>146</v>
      </c>
      <c r="G108" s="58" t="s">
        <v>128</v>
      </c>
      <c r="H108" s="55">
        <v>238.8</v>
      </c>
      <c r="I108" s="54" t="s">
        <v>129</v>
      </c>
    </row>
    <row r="109" spans="2:9" x14ac:dyDescent="0.2">
      <c r="B109" s="59" t="s">
        <v>153</v>
      </c>
      <c r="C109" s="59" t="s">
        <v>154</v>
      </c>
      <c r="D109" s="90">
        <v>42.416666666666657</v>
      </c>
      <c r="E109" s="59" t="s">
        <v>155</v>
      </c>
      <c r="F109" s="62" t="s">
        <v>41</v>
      </c>
      <c r="G109" s="91" t="s">
        <v>132</v>
      </c>
      <c r="H109" s="90">
        <v>508.99999999999989</v>
      </c>
      <c r="I109" s="59" t="s">
        <v>133</v>
      </c>
    </row>
    <row r="110" spans="2:9" x14ac:dyDescent="0.2">
      <c r="B110" s="54" t="s">
        <v>156</v>
      </c>
      <c r="C110" s="54" t="s">
        <v>157</v>
      </c>
      <c r="D110" s="92">
        <v>28.324999999999999</v>
      </c>
      <c r="E110" s="54" t="s">
        <v>158</v>
      </c>
      <c r="F110" s="57" t="s">
        <v>146</v>
      </c>
      <c r="G110" s="93" t="s">
        <v>132</v>
      </c>
      <c r="H110" s="92">
        <v>339.9</v>
      </c>
      <c r="I110" s="54" t="s">
        <v>133</v>
      </c>
    </row>
    <row r="111" spans="2:9" x14ac:dyDescent="0.2">
      <c r="B111" s="59" t="s">
        <v>159</v>
      </c>
      <c r="C111" s="59" t="s">
        <v>160</v>
      </c>
      <c r="D111" s="60">
        <v>99.9</v>
      </c>
      <c r="E111" s="59" t="s">
        <v>161</v>
      </c>
      <c r="F111" s="67" t="s">
        <v>34</v>
      </c>
      <c r="G111" s="63" t="s">
        <v>128</v>
      </c>
      <c r="H111" s="60">
        <v>1198.8</v>
      </c>
      <c r="I111" s="59" t="s">
        <v>129</v>
      </c>
    </row>
    <row r="112" spans="2:9" x14ac:dyDescent="0.2">
      <c r="B112" s="54" t="s">
        <v>162</v>
      </c>
      <c r="C112" s="54" t="s">
        <v>163</v>
      </c>
      <c r="D112" s="68">
        <v>31.9</v>
      </c>
      <c r="E112" s="54" t="s">
        <v>164</v>
      </c>
      <c r="F112" s="57" t="s">
        <v>146</v>
      </c>
      <c r="G112" s="69" t="s">
        <v>123</v>
      </c>
      <c r="H112" s="68">
        <v>382.8</v>
      </c>
      <c r="I112" s="54" t="s">
        <v>124</v>
      </c>
    </row>
    <row r="114" spans="2:10" x14ac:dyDescent="0.2">
      <c r="B114" s="165" t="s">
        <v>165</v>
      </c>
      <c r="C114" s="154"/>
    </row>
    <row r="115" spans="2:10" x14ac:dyDescent="0.2">
      <c r="B115" s="94" t="s">
        <v>123</v>
      </c>
      <c r="C115" s="95">
        <v>365.8</v>
      </c>
      <c r="D115" s="95">
        <v>4389.5999999999995</v>
      </c>
    </row>
    <row r="116" spans="2:10" x14ac:dyDescent="0.2">
      <c r="B116" s="96" t="s">
        <v>128</v>
      </c>
      <c r="C116" s="97">
        <v>331.8</v>
      </c>
      <c r="D116" s="97">
        <v>3981.6</v>
      </c>
    </row>
    <row r="117" spans="2:10" x14ac:dyDescent="0.2">
      <c r="B117" s="53" t="s">
        <v>132</v>
      </c>
      <c r="C117" s="98">
        <v>646.93999999999994</v>
      </c>
      <c r="D117" s="98">
        <v>7763.2799999999988</v>
      </c>
    </row>
    <row r="119" spans="2:10" x14ac:dyDescent="0.2">
      <c r="B119" s="94" t="s">
        <v>166</v>
      </c>
      <c r="C119" s="95">
        <v>365.8</v>
      </c>
      <c r="D119" s="95">
        <v>4389.5999999999995</v>
      </c>
    </row>
    <row r="121" spans="2:10" x14ac:dyDescent="0.2">
      <c r="B121" s="167" t="s">
        <v>167</v>
      </c>
      <c r="C121" s="156"/>
      <c r="D121" s="156"/>
      <c r="E121" s="156"/>
      <c r="F121" s="156"/>
      <c r="G121" s="156"/>
      <c r="H121" s="156"/>
      <c r="I121" s="156"/>
      <c r="J121" s="154"/>
    </row>
    <row r="122" spans="2:10" x14ac:dyDescent="0.2">
      <c r="B122" s="53" t="s">
        <v>168</v>
      </c>
      <c r="C122" s="53" t="s">
        <v>169</v>
      </c>
      <c r="D122" s="53" t="s">
        <v>170</v>
      </c>
      <c r="E122" s="53" t="s">
        <v>171</v>
      </c>
      <c r="F122" s="53" t="s">
        <v>172</v>
      </c>
      <c r="G122" s="53" t="s">
        <v>173</v>
      </c>
    </row>
    <row r="123" spans="2:10" x14ac:dyDescent="0.2">
      <c r="B123" s="99" t="s">
        <v>1</v>
      </c>
      <c r="C123" s="55">
        <v>23196.9</v>
      </c>
      <c r="D123" s="54" t="s">
        <v>174</v>
      </c>
      <c r="E123" s="100" t="s">
        <v>175</v>
      </c>
      <c r="F123" s="57" t="s">
        <v>176</v>
      </c>
      <c r="G123" s="54" t="s">
        <v>177</v>
      </c>
    </row>
    <row r="131" spans="2:10" x14ac:dyDescent="0.2">
      <c r="B131" s="99" t="s">
        <v>4</v>
      </c>
      <c r="C131" s="55">
        <v>37245.760000000002</v>
      </c>
      <c r="D131" s="54" t="s">
        <v>174</v>
      </c>
      <c r="E131" s="100" t="s">
        <v>178</v>
      </c>
      <c r="F131" s="57" t="s">
        <v>176</v>
      </c>
      <c r="G131" s="54" t="s">
        <v>179</v>
      </c>
    </row>
    <row r="132" spans="2:10" x14ac:dyDescent="0.2">
      <c r="B132" s="101" t="s">
        <v>180</v>
      </c>
      <c r="C132" s="60">
        <v>6207.626666666667</v>
      </c>
      <c r="D132" s="59" t="s">
        <v>174</v>
      </c>
      <c r="E132" s="102" t="s">
        <v>181</v>
      </c>
      <c r="F132" s="62" t="s">
        <v>176</v>
      </c>
      <c r="G132" s="59" t="s">
        <v>182</v>
      </c>
    </row>
    <row r="133" spans="2:10" x14ac:dyDescent="0.2">
      <c r="B133" s="99" t="s">
        <v>6</v>
      </c>
      <c r="C133" s="55">
        <v>1344.54</v>
      </c>
      <c r="D133" s="54" t="s">
        <v>174</v>
      </c>
      <c r="E133" s="100" t="s">
        <v>183</v>
      </c>
      <c r="F133" s="57" t="s">
        <v>176</v>
      </c>
      <c r="G133" s="54" t="s">
        <v>184</v>
      </c>
    </row>
    <row r="134" spans="2:10" x14ac:dyDescent="0.2">
      <c r="B134" s="101" t="s">
        <v>185</v>
      </c>
      <c r="C134" s="60">
        <v>365.8</v>
      </c>
      <c r="D134" s="59" t="s">
        <v>174</v>
      </c>
      <c r="E134" s="102" t="s">
        <v>186</v>
      </c>
      <c r="F134" s="62" t="s">
        <v>176</v>
      </c>
      <c r="G134" s="59" t="s">
        <v>187</v>
      </c>
    </row>
    <row r="135" spans="2:10" x14ac:dyDescent="0.2">
      <c r="B135" s="99" t="s">
        <v>188</v>
      </c>
      <c r="C135" s="55">
        <v>4389.5999999999995</v>
      </c>
      <c r="D135" s="54" t="s">
        <v>174</v>
      </c>
      <c r="E135" s="100" t="s">
        <v>189</v>
      </c>
      <c r="F135" s="57" t="s">
        <v>176</v>
      </c>
      <c r="G135" s="54" t="s">
        <v>190</v>
      </c>
    </row>
    <row r="139" spans="2:10" x14ac:dyDescent="0.2">
      <c r="B139" s="169" t="s">
        <v>191</v>
      </c>
      <c r="C139" s="152"/>
      <c r="D139" s="152"/>
      <c r="E139" s="152"/>
      <c r="F139" s="152"/>
      <c r="G139" s="152"/>
      <c r="H139" s="152"/>
      <c r="I139" s="152"/>
      <c r="J139" s="152"/>
    </row>
    <row r="140" spans="2:10" x14ac:dyDescent="0.2">
      <c r="B140" s="166" t="s">
        <v>192</v>
      </c>
      <c r="C140" s="152"/>
      <c r="D140" s="152"/>
      <c r="E140" s="152"/>
      <c r="F140" s="152"/>
      <c r="G140" s="152"/>
      <c r="H140" s="152"/>
      <c r="I140" s="152"/>
      <c r="J140" s="152"/>
    </row>
    <row r="148" spans="2:10" x14ac:dyDescent="0.2">
      <c r="B148" s="166" t="s">
        <v>193</v>
      </c>
      <c r="C148" s="152"/>
      <c r="D148" s="152"/>
      <c r="E148" s="152"/>
      <c r="F148" s="152"/>
      <c r="G148" s="152"/>
      <c r="H148" s="152"/>
      <c r="I148" s="152"/>
      <c r="J148" s="152"/>
    </row>
    <row r="149" spans="2:10" x14ac:dyDescent="0.2">
      <c r="B149" s="166" t="s">
        <v>194</v>
      </c>
      <c r="C149" s="152"/>
      <c r="D149" s="152"/>
      <c r="E149" s="152"/>
      <c r="F149" s="152"/>
      <c r="G149" s="152"/>
      <c r="H149" s="152"/>
      <c r="I149" s="152"/>
      <c r="J149" s="152"/>
    </row>
    <row r="150" spans="2:10" x14ac:dyDescent="0.2">
      <c r="B150" s="166" t="s">
        <v>195</v>
      </c>
      <c r="C150" s="152"/>
      <c r="D150" s="152"/>
      <c r="E150" s="152"/>
      <c r="F150" s="152"/>
      <c r="G150" s="152"/>
      <c r="H150" s="152"/>
      <c r="I150" s="152"/>
      <c r="J150" s="152"/>
    </row>
    <row r="151" spans="2:10" x14ac:dyDescent="0.2">
      <c r="B151" s="166" t="s">
        <v>196</v>
      </c>
      <c r="C151" s="152"/>
      <c r="D151" s="152"/>
      <c r="E151" s="152"/>
      <c r="F151" s="152"/>
      <c r="G151" s="152"/>
      <c r="H151" s="152"/>
      <c r="I151" s="152"/>
      <c r="J151" s="152"/>
    </row>
    <row r="152" spans="2:10" x14ac:dyDescent="0.2">
      <c r="B152" s="166" t="s">
        <v>197</v>
      </c>
      <c r="C152" s="152"/>
      <c r="D152" s="152"/>
      <c r="E152" s="152"/>
      <c r="F152" s="152"/>
      <c r="G152" s="152"/>
      <c r="H152" s="152"/>
      <c r="I152" s="152"/>
      <c r="J152" s="152"/>
    </row>
    <row r="157" spans="2:10" ht="16" customHeight="1" x14ac:dyDescent="0.2">
      <c r="B157" s="167" t="s">
        <v>198</v>
      </c>
      <c r="C157" s="156"/>
      <c r="D157" s="156"/>
      <c r="E157" s="156"/>
      <c r="F157" s="156"/>
      <c r="G157" s="156"/>
      <c r="H157" s="156"/>
      <c r="I157" s="156"/>
      <c r="J157" s="154"/>
    </row>
    <row r="158" spans="2:10" x14ac:dyDescent="0.2">
      <c r="B158" s="169" t="s">
        <v>199</v>
      </c>
      <c r="C158" s="152"/>
      <c r="D158" s="152"/>
      <c r="E158" s="152"/>
      <c r="F158" s="152"/>
      <c r="G158" s="152"/>
      <c r="H158" s="152"/>
      <c r="I158" s="152"/>
      <c r="J158" s="152"/>
    </row>
    <row r="160" spans="2:10" x14ac:dyDescent="0.2">
      <c r="B160" s="53" t="s">
        <v>168</v>
      </c>
      <c r="C160" s="53" t="s">
        <v>200</v>
      </c>
      <c r="D160" s="53" t="s">
        <v>170</v>
      </c>
      <c r="E160" s="53" t="s">
        <v>201</v>
      </c>
      <c r="F160" s="53" t="s">
        <v>202</v>
      </c>
      <c r="G160" s="53" t="s">
        <v>172</v>
      </c>
      <c r="H160" s="53" t="s">
        <v>203</v>
      </c>
    </row>
    <row r="162" spans="2:8" x14ac:dyDescent="0.2">
      <c r="B162" s="102" t="s">
        <v>1</v>
      </c>
      <c r="C162" s="61">
        <f>CALC!C123</f>
        <v>23196.9</v>
      </c>
      <c r="D162" s="59" t="s">
        <v>174</v>
      </c>
      <c r="E162" s="102" t="str">
        <f>TEXT(C162,D162)</f>
        <v>R$ 23196,9000</v>
      </c>
      <c r="F162" s="102" t="s">
        <v>204</v>
      </c>
      <c r="G162" s="62" t="s">
        <v>176</v>
      </c>
      <c r="H162" s="91" t="s">
        <v>205</v>
      </c>
    </row>
    <row r="170" spans="2:8" x14ac:dyDescent="0.2">
      <c r="B170" s="87" t="s">
        <v>4</v>
      </c>
      <c r="C170" s="61">
        <f>CALC!C131</f>
        <v>37245.760000000002</v>
      </c>
      <c r="D170" s="59" t="s">
        <v>174</v>
      </c>
      <c r="E170" s="87" t="str">
        <f>TEXT(C170,D170)</f>
        <v>R$ 37245,76000</v>
      </c>
      <c r="F170" s="102" t="s">
        <v>206</v>
      </c>
      <c r="G170" s="62" t="s">
        <v>176</v>
      </c>
      <c r="H170" s="67" t="s">
        <v>207</v>
      </c>
    </row>
    <row r="171" spans="2:8" x14ac:dyDescent="0.2">
      <c r="B171" s="100" t="s">
        <v>208</v>
      </c>
      <c r="C171" s="56">
        <f>CALC!C132</f>
        <v>6207.626666666667</v>
      </c>
      <c r="D171" s="54" t="s">
        <v>174</v>
      </c>
      <c r="E171" s="100" t="str">
        <f>TEXT(C171,D171)</f>
        <v>R$ 6207,62667</v>
      </c>
      <c r="F171" s="100" t="s">
        <v>209</v>
      </c>
      <c r="G171" s="57" t="s">
        <v>176</v>
      </c>
      <c r="H171" s="93" t="s">
        <v>205</v>
      </c>
    </row>
    <row r="173" spans="2:8" x14ac:dyDescent="0.2">
      <c r="B173" s="75" t="s">
        <v>210</v>
      </c>
      <c r="C173" s="56">
        <f>CALC!C133</f>
        <v>1344.54</v>
      </c>
      <c r="D173" s="54" t="s">
        <v>174</v>
      </c>
      <c r="E173" s="75" t="str">
        <f>TEXT(C173,D173)</f>
        <v>R$ 1344,54000</v>
      </c>
      <c r="F173" s="100" t="s">
        <v>211</v>
      </c>
      <c r="G173" s="57" t="s">
        <v>176</v>
      </c>
      <c r="H173" s="69" t="s">
        <v>207</v>
      </c>
    </row>
    <row r="174" spans="2:8" x14ac:dyDescent="0.2">
      <c r="B174" s="89" t="s">
        <v>212</v>
      </c>
      <c r="C174" s="61">
        <f>CALC!C134</f>
        <v>365.8</v>
      </c>
      <c r="D174" s="59" t="s">
        <v>174</v>
      </c>
      <c r="E174" s="89" t="str">
        <f>TEXT(C174,D174)</f>
        <v>R$ 365,8000</v>
      </c>
      <c r="F174" s="102" t="s">
        <v>213</v>
      </c>
      <c r="G174" s="62" t="s">
        <v>176</v>
      </c>
      <c r="H174" s="63" t="s">
        <v>214</v>
      </c>
    </row>
    <row r="175" spans="2:8" x14ac:dyDescent="0.2">
      <c r="B175" s="74" t="s">
        <v>215</v>
      </c>
      <c r="C175" s="56">
        <f>CALC!C135</f>
        <v>4389.5999999999995</v>
      </c>
      <c r="D175" s="54" t="s">
        <v>174</v>
      </c>
      <c r="E175" s="74" t="str">
        <f>TEXT(C175,D175)</f>
        <v>R$ 4389,6000</v>
      </c>
      <c r="F175" s="100" t="s">
        <v>216</v>
      </c>
      <c r="G175" s="57" t="s">
        <v>176</v>
      </c>
      <c r="H175" s="58" t="s">
        <v>214</v>
      </c>
    </row>
    <row r="177" spans="2:10" ht="16" customHeight="1" x14ac:dyDescent="0.2">
      <c r="B177" s="167" t="s">
        <v>217</v>
      </c>
      <c r="C177" s="156"/>
      <c r="D177" s="156"/>
      <c r="E177" s="156"/>
      <c r="F177" s="156"/>
      <c r="G177" s="156"/>
      <c r="H177" s="156"/>
      <c r="I177" s="156"/>
      <c r="J177" s="154"/>
    </row>
    <row r="178" spans="2:10" x14ac:dyDescent="0.2">
      <c r="B178" s="53" t="s">
        <v>218</v>
      </c>
      <c r="C178" s="53" t="s">
        <v>86</v>
      </c>
      <c r="D178" s="53" t="s">
        <v>219</v>
      </c>
      <c r="E178" s="53" t="s">
        <v>220</v>
      </c>
      <c r="F178" s="53" t="s">
        <v>221</v>
      </c>
      <c r="G178" s="53" t="s">
        <v>222</v>
      </c>
      <c r="H178" s="53" t="s">
        <v>223</v>
      </c>
    </row>
    <row r="179" spans="2:10" x14ac:dyDescent="0.2">
      <c r="B179" s="57" t="s">
        <v>83</v>
      </c>
      <c r="C179" s="56">
        <v>1114.17</v>
      </c>
      <c r="D179" s="56">
        <v>3308.38</v>
      </c>
      <c r="E179" s="79">
        <v>-0.66322792424086707</v>
      </c>
      <c r="F179" s="105" t="str">
        <f t="shared" ref="F179:F184" si="0">TEXT(E179,"+0.0%;-0.0%")</f>
        <v>-66%</v>
      </c>
      <c r="G179" s="69" t="s">
        <v>224</v>
      </c>
      <c r="H179" s="69" t="s">
        <v>225</v>
      </c>
    </row>
    <row r="180" spans="2:10" x14ac:dyDescent="0.2">
      <c r="B180" s="62" t="s">
        <v>82</v>
      </c>
      <c r="C180" s="61">
        <v>3308.38</v>
      </c>
      <c r="D180" s="61">
        <v>5330.44</v>
      </c>
      <c r="E180" s="80">
        <v>-0.37934204305835911</v>
      </c>
      <c r="F180" s="106" t="str">
        <f t="shared" si="0"/>
        <v>-38%</v>
      </c>
      <c r="G180" s="67" t="s">
        <v>224</v>
      </c>
      <c r="H180" s="67" t="s">
        <v>225</v>
      </c>
    </row>
    <row r="181" spans="2:10" x14ac:dyDescent="0.2">
      <c r="B181" s="57" t="s">
        <v>81</v>
      </c>
      <c r="C181" s="56">
        <v>5330.44</v>
      </c>
      <c r="D181" s="56">
        <v>14231.47</v>
      </c>
      <c r="E181" s="79">
        <v>-0.62544698474577809</v>
      </c>
      <c r="F181" s="105" t="str">
        <f t="shared" si="0"/>
        <v>-63%</v>
      </c>
      <c r="G181" s="69" t="s">
        <v>224</v>
      </c>
      <c r="H181" s="69" t="s">
        <v>225</v>
      </c>
    </row>
    <row r="182" spans="2:10" x14ac:dyDescent="0.2">
      <c r="B182" s="62" t="s">
        <v>80</v>
      </c>
      <c r="C182" s="61">
        <v>14231.47</v>
      </c>
      <c r="D182" s="61">
        <v>9515.9</v>
      </c>
      <c r="E182" s="81">
        <v>0.49554640128626831</v>
      </c>
      <c r="F182" s="107" t="str">
        <f t="shared" si="0"/>
        <v>+50%</v>
      </c>
      <c r="G182" s="63" t="s">
        <v>226</v>
      </c>
      <c r="H182" s="63" t="s">
        <v>227</v>
      </c>
    </row>
    <row r="183" spans="2:10" x14ac:dyDescent="0.2">
      <c r="B183" s="57" t="s">
        <v>79</v>
      </c>
      <c r="C183" s="56">
        <v>9515.9</v>
      </c>
      <c r="D183" s="56">
        <v>3745.4</v>
      </c>
      <c r="E183" s="82">
        <v>1.540689912959897</v>
      </c>
      <c r="F183" s="108" t="str">
        <f t="shared" si="0"/>
        <v>+154%</v>
      </c>
      <c r="G183" s="58" t="s">
        <v>226</v>
      </c>
      <c r="H183" s="58" t="s">
        <v>227</v>
      </c>
    </row>
    <row r="184" spans="2:10" x14ac:dyDescent="0.2">
      <c r="B184" s="62" t="s">
        <v>78</v>
      </c>
      <c r="C184" s="61">
        <v>3745.4</v>
      </c>
      <c r="D184" s="61">
        <v>0</v>
      </c>
      <c r="E184" s="81">
        <v>0</v>
      </c>
      <c r="F184" s="107" t="str">
        <f t="shared" si="0"/>
        <v>+00%</v>
      </c>
      <c r="G184" s="63" t="s">
        <v>226</v>
      </c>
      <c r="H184" s="63" t="s">
        <v>227</v>
      </c>
    </row>
    <row r="187" spans="2:10" ht="16" customHeight="1" x14ac:dyDescent="0.2">
      <c r="B187" s="167" t="s">
        <v>228</v>
      </c>
      <c r="C187" s="156"/>
      <c r="D187" s="156"/>
      <c r="E187" s="156"/>
      <c r="F187" s="156"/>
      <c r="G187" s="156"/>
      <c r="H187" s="156"/>
      <c r="I187" s="156"/>
      <c r="J187" s="154"/>
    </row>
    <row r="188" spans="2:10" x14ac:dyDescent="0.2">
      <c r="B188" s="169" t="s">
        <v>229</v>
      </c>
      <c r="C188" s="152"/>
      <c r="D188" s="152"/>
      <c r="E188" s="152"/>
      <c r="F188" s="152"/>
      <c r="G188" s="152"/>
      <c r="H188" s="152"/>
      <c r="I188" s="152"/>
      <c r="J188" s="152"/>
    </row>
    <row r="189" spans="2:10" x14ac:dyDescent="0.2">
      <c r="B189" s="169" t="s">
        <v>230</v>
      </c>
      <c r="C189" s="152"/>
      <c r="D189" s="152"/>
      <c r="E189" s="152"/>
      <c r="F189" s="152"/>
      <c r="G189" s="152"/>
      <c r="H189" s="152"/>
      <c r="I189" s="152"/>
      <c r="J189" s="152"/>
    </row>
    <row r="190" spans="2:10" x14ac:dyDescent="0.2">
      <c r="B190" s="169" t="s">
        <v>231</v>
      </c>
      <c r="C190" s="152"/>
      <c r="D190" s="152"/>
      <c r="E190" s="152"/>
      <c r="F190" s="152"/>
      <c r="G190" s="152"/>
      <c r="H190" s="152"/>
      <c r="I190" s="152"/>
      <c r="J190" s="152"/>
    </row>
    <row r="191" spans="2:10" x14ac:dyDescent="0.2">
      <c r="B191" s="174"/>
      <c r="C191" s="152"/>
      <c r="D191" s="152"/>
      <c r="E191" s="152"/>
      <c r="F191" s="152"/>
      <c r="G191" s="152"/>
      <c r="H191" s="152"/>
      <c r="I191" s="152"/>
      <c r="J191" s="152"/>
    </row>
    <row r="192" spans="2:10" x14ac:dyDescent="0.2">
      <c r="B192" s="164" t="s">
        <v>232</v>
      </c>
      <c r="C192" s="152"/>
      <c r="D192" s="152"/>
      <c r="E192" s="152"/>
      <c r="F192" s="152"/>
      <c r="G192" s="152"/>
      <c r="H192" s="152"/>
      <c r="I192" s="152"/>
      <c r="J192" s="152"/>
    </row>
    <row r="194" spans="2:10" x14ac:dyDescent="0.2">
      <c r="B194" s="163" t="s">
        <v>233</v>
      </c>
      <c r="C194" s="152"/>
      <c r="D194" s="152"/>
      <c r="E194" s="152"/>
      <c r="F194" s="152"/>
      <c r="G194" s="152"/>
      <c r="H194" s="152"/>
      <c r="I194" s="152"/>
      <c r="J194" s="152"/>
    </row>
    <row r="202" spans="2:10" x14ac:dyDescent="0.2">
      <c r="B202" s="163" t="s">
        <v>234</v>
      </c>
      <c r="C202" s="152"/>
      <c r="D202" s="152"/>
      <c r="E202" s="152"/>
      <c r="F202" s="152"/>
      <c r="G202" s="152"/>
      <c r="H202" s="152"/>
      <c r="I202" s="152"/>
      <c r="J202" s="152"/>
    </row>
    <row r="203" spans="2:10" x14ac:dyDescent="0.2">
      <c r="B203" s="163" t="s">
        <v>235</v>
      </c>
      <c r="C203" s="152"/>
      <c r="D203" s="152"/>
      <c r="E203" s="152"/>
      <c r="F203" s="152"/>
      <c r="G203" s="152"/>
      <c r="H203" s="152"/>
      <c r="I203" s="152"/>
      <c r="J203" s="152"/>
    </row>
    <row r="205" spans="2:10" x14ac:dyDescent="0.2">
      <c r="B205" s="163" t="s">
        <v>236</v>
      </c>
      <c r="C205" s="152"/>
      <c r="D205" s="152"/>
      <c r="E205" s="152"/>
      <c r="F205" s="152"/>
      <c r="G205" s="152"/>
      <c r="H205" s="152"/>
      <c r="I205" s="152"/>
      <c r="J205" s="152"/>
    </row>
    <row r="206" spans="2:10" x14ac:dyDescent="0.2">
      <c r="B206" s="163" t="s">
        <v>237</v>
      </c>
      <c r="C206" s="152"/>
      <c r="D206" s="152"/>
      <c r="E206" s="152"/>
      <c r="F206" s="152"/>
      <c r="G206" s="152"/>
      <c r="H206" s="152"/>
      <c r="I206" s="152"/>
      <c r="J206" s="152"/>
    </row>
    <row r="207" spans="2:10" x14ac:dyDescent="0.2">
      <c r="B207" s="163" t="s">
        <v>238</v>
      </c>
      <c r="C207" s="152"/>
      <c r="D207" s="152"/>
      <c r="E207" s="152"/>
      <c r="F207" s="152"/>
      <c r="G207" s="152"/>
      <c r="H207" s="152"/>
      <c r="I207" s="152"/>
      <c r="J207" s="152"/>
    </row>
    <row r="209" spans="2:11" x14ac:dyDescent="0.2">
      <c r="B209" s="164" t="s">
        <v>239</v>
      </c>
      <c r="C209" s="152"/>
      <c r="D209" s="152"/>
      <c r="E209" s="152"/>
      <c r="F209" s="152"/>
      <c r="G209" s="152"/>
      <c r="H209" s="152"/>
      <c r="I209" s="152"/>
      <c r="J209" s="152"/>
    </row>
    <row r="210" spans="2:11" x14ac:dyDescent="0.2">
      <c r="B210" s="163" t="s">
        <v>240</v>
      </c>
      <c r="C210" s="152"/>
      <c r="D210" s="152"/>
      <c r="E210" s="152"/>
      <c r="F210" s="152"/>
      <c r="G210" s="152"/>
      <c r="H210" s="152"/>
      <c r="I210" s="152"/>
      <c r="J210" s="152"/>
    </row>
    <row r="211" spans="2:11" x14ac:dyDescent="0.2">
      <c r="B211" s="163" t="s">
        <v>241</v>
      </c>
      <c r="C211" s="152"/>
      <c r="D211" s="152"/>
      <c r="E211" s="152"/>
      <c r="F211" s="152"/>
      <c r="G211" s="152"/>
      <c r="H211" s="152"/>
      <c r="I211" s="152"/>
      <c r="J211" s="152"/>
    </row>
    <row r="212" spans="2:11" x14ac:dyDescent="0.2">
      <c r="B212" s="163" t="s">
        <v>242</v>
      </c>
      <c r="C212" s="152"/>
      <c r="D212" s="152"/>
      <c r="E212" s="152"/>
      <c r="F212" s="152"/>
      <c r="G212" s="152"/>
      <c r="H212" s="152"/>
      <c r="I212" s="152"/>
      <c r="J212" s="152"/>
    </row>
    <row r="213" spans="2:11" x14ac:dyDescent="0.2">
      <c r="B213" s="163" t="s">
        <v>243</v>
      </c>
      <c r="C213" s="152"/>
      <c r="D213" s="152"/>
      <c r="E213" s="152"/>
      <c r="F213" s="152"/>
      <c r="G213" s="152"/>
      <c r="H213" s="152"/>
      <c r="I213" s="152"/>
      <c r="J213" s="152"/>
    </row>
    <row r="214" spans="2:11" x14ac:dyDescent="0.2">
      <c r="B214" s="163" t="s">
        <v>244</v>
      </c>
      <c r="C214" s="152"/>
      <c r="D214" s="152"/>
      <c r="E214" s="152"/>
      <c r="F214" s="152"/>
      <c r="G214" s="152"/>
      <c r="H214" s="152"/>
      <c r="I214" s="152"/>
      <c r="J214" s="152"/>
    </row>
    <row r="215" spans="2:11" x14ac:dyDescent="0.2">
      <c r="B215" s="163" t="s">
        <v>245</v>
      </c>
      <c r="C215" s="152"/>
      <c r="D215" s="152"/>
      <c r="E215" s="152"/>
      <c r="F215" s="152"/>
      <c r="G215" s="152"/>
      <c r="H215" s="152"/>
      <c r="I215" s="152"/>
      <c r="J215" s="152"/>
    </row>
    <row r="218" spans="2:11" ht="16" customHeight="1" x14ac:dyDescent="0.2">
      <c r="B218" s="167" t="s">
        <v>246</v>
      </c>
      <c r="C218" s="156"/>
      <c r="D218" s="156"/>
      <c r="E218" s="156"/>
      <c r="F218" s="156"/>
      <c r="G218" s="156"/>
      <c r="H218" s="156"/>
      <c r="I218" s="156"/>
      <c r="J218" s="156"/>
      <c r="K218" s="154"/>
    </row>
    <row r="219" spans="2:11" x14ac:dyDescent="0.2">
      <c r="B219" s="169" t="s">
        <v>247</v>
      </c>
      <c r="C219" s="152"/>
      <c r="D219" s="152"/>
      <c r="E219" s="152"/>
      <c r="F219" s="152"/>
      <c r="G219" s="152"/>
      <c r="H219" s="152"/>
      <c r="I219" s="152"/>
      <c r="J219" s="152"/>
      <c r="K219" s="152"/>
    </row>
    <row r="220" spans="2:11" x14ac:dyDescent="0.2">
      <c r="B220" s="109" t="s">
        <v>73</v>
      </c>
      <c r="C220" s="109" t="s">
        <v>9</v>
      </c>
      <c r="D220" s="109" t="s">
        <v>248</v>
      </c>
      <c r="F220" s="109" t="s">
        <v>10</v>
      </c>
    </row>
    <row r="221" spans="2:11" x14ac:dyDescent="0.2">
      <c r="B221" s="57" t="s">
        <v>83</v>
      </c>
      <c r="C221" s="68">
        <v>1114.17</v>
      </c>
      <c r="D221" s="73">
        <v>13</v>
      </c>
      <c r="F221" s="68">
        <v>0</v>
      </c>
    </row>
    <row r="222" spans="2:11" x14ac:dyDescent="0.2">
      <c r="B222" s="62" t="s">
        <v>82</v>
      </c>
      <c r="C222" s="66">
        <v>3308.38</v>
      </c>
      <c r="D222" s="76">
        <v>29</v>
      </c>
      <c r="F222" s="66">
        <v>0</v>
      </c>
    </row>
    <row r="223" spans="2:11" x14ac:dyDescent="0.2">
      <c r="B223" s="57" t="s">
        <v>81</v>
      </c>
      <c r="C223" s="68">
        <v>5330.44</v>
      </c>
      <c r="D223" s="73">
        <v>33</v>
      </c>
      <c r="F223" s="68">
        <v>0</v>
      </c>
    </row>
    <row r="224" spans="2:11" x14ac:dyDescent="0.2">
      <c r="B224" s="62" t="s">
        <v>80</v>
      </c>
      <c r="C224" s="66">
        <v>14231.47</v>
      </c>
      <c r="D224" s="76">
        <v>32</v>
      </c>
      <c r="F224" s="66">
        <v>0</v>
      </c>
    </row>
    <row r="225" spans="2:11" x14ac:dyDescent="0.2">
      <c r="B225" s="57" t="s">
        <v>79</v>
      </c>
      <c r="C225" s="68">
        <v>9515.9</v>
      </c>
      <c r="D225" s="73">
        <v>21</v>
      </c>
      <c r="F225" s="68">
        <v>0</v>
      </c>
    </row>
    <row r="226" spans="2:11" x14ac:dyDescent="0.2">
      <c r="B226" s="62" t="s">
        <v>78</v>
      </c>
      <c r="C226" s="66">
        <v>3745.4</v>
      </c>
      <c r="D226" s="76">
        <v>18</v>
      </c>
      <c r="F226" s="66">
        <v>0</v>
      </c>
    </row>
    <row r="227" spans="2:11" x14ac:dyDescent="0.2">
      <c r="B227" s="64" t="s">
        <v>84</v>
      </c>
      <c r="C227" s="65">
        <f>SUM(C221:C226)</f>
        <v>37245.760000000002</v>
      </c>
      <c r="D227" s="77">
        <f>SUM(D221:D226)</f>
        <v>146</v>
      </c>
      <c r="F227" s="65">
        <f>SUM(F221:F226)</f>
        <v>0</v>
      </c>
    </row>
    <row r="229" spans="2:11" x14ac:dyDescent="0.2">
      <c r="B229" s="167" t="s">
        <v>249</v>
      </c>
      <c r="C229" s="156"/>
      <c r="D229" s="156"/>
      <c r="E229" s="156"/>
      <c r="F229" s="156"/>
      <c r="G229" s="156"/>
      <c r="H229" s="156"/>
      <c r="I229" s="156"/>
      <c r="J229" s="156"/>
      <c r="K229" s="154"/>
    </row>
    <row r="230" spans="2:11" x14ac:dyDescent="0.2">
      <c r="B230" s="169" t="s">
        <v>250</v>
      </c>
      <c r="C230" s="152"/>
      <c r="D230" s="152"/>
      <c r="E230" s="152"/>
      <c r="F230" s="152"/>
      <c r="G230" s="152"/>
      <c r="H230" s="152"/>
      <c r="I230" s="152"/>
      <c r="J230" s="152"/>
      <c r="K230" s="152"/>
    </row>
    <row r="231" spans="2:11" x14ac:dyDescent="0.2">
      <c r="B231" s="109" t="s">
        <v>251</v>
      </c>
      <c r="C231" s="109" t="s">
        <v>252</v>
      </c>
      <c r="D231" s="109" t="s">
        <v>253</v>
      </c>
      <c r="E231" s="109" t="s">
        <v>254</v>
      </c>
      <c r="F231" s="109" t="s">
        <v>88</v>
      </c>
      <c r="G231" s="109" t="s">
        <v>255</v>
      </c>
      <c r="H231" s="109" t="s">
        <v>222</v>
      </c>
    </row>
    <row r="232" spans="2:11" x14ac:dyDescent="0.2">
      <c r="B232" s="54" t="s">
        <v>9</v>
      </c>
      <c r="C232" s="71" t="s">
        <v>256</v>
      </c>
      <c r="D232" s="57" t="s">
        <v>257</v>
      </c>
      <c r="E232" s="110">
        <f>(C221-C222)/C222</f>
        <v>-0.66322792424086707</v>
      </c>
      <c r="F232" s="110">
        <f>IF(C222&lt;&gt;0,(C221-C222)/C222,"")</f>
        <v>-0.66322792424086707</v>
      </c>
      <c r="G232" s="54" t="str">
        <f>IF(F232&lt;&gt;"",TEXT(F232,"+0.0%;-0.0%")&amp;" "&amp;IF(F232&gt;=0,"▲","▼"),"")</f>
        <v>-66% ▼</v>
      </c>
      <c r="H232" s="57" t="str">
        <f>IF(F232&lt;&gt;"",IF(F232&gt;=0,"▲","▼"),"")</f>
        <v>▼</v>
      </c>
    </row>
    <row r="234" spans="2:11" x14ac:dyDescent="0.2">
      <c r="B234" s="54" t="s">
        <v>10</v>
      </c>
      <c r="C234" s="71" t="s">
        <v>258</v>
      </c>
      <c r="D234" s="57" t="s">
        <v>259</v>
      </c>
      <c r="E234" s="110" t="e">
        <f>(F221-F222)/F222</f>
        <v>#DIV/0!</v>
      </c>
      <c r="F234" s="110" t="str">
        <f>IF(F222&lt;&gt;0,(F221-F222)/F222,"")</f>
        <v/>
      </c>
      <c r="G234" s="54" t="str">
        <f>IF(F234&lt;&gt;"",TEXT(F234,"+0.0%;-0.0%")&amp;" "&amp;IF(F234&gt;=0,"▲","▼"),"")</f>
        <v/>
      </c>
      <c r="H234" s="57" t="str">
        <f>IF(F234&lt;&gt;"",IF(F234&gt;=0,"▲","▼"),"")</f>
        <v/>
      </c>
    </row>
    <row r="241" spans="2:11" x14ac:dyDescent="0.2">
      <c r="B241" s="167" t="s">
        <v>260</v>
      </c>
      <c r="C241" s="156"/>
      <c r="D241" s="156"/>
      <c r="E241" s="156"/>
      <c r="F241" s="156"/>
      <c r="G241" s="156"/>
      <c r="H241" s="156"/>
      <c r="I241" s="156"/>
      <c r="J241" s="156"/>
      <c r="K241" s="154"/>
    </row>
    <row r="242" spans="2:11" x14ac:dyDescent="0.2">
      <c r="B242" s="109" t="s">
        <v>73</v>
      </c>
      <c r="C242" s="109" t="s">
        <v>261</v>
      </c>
    </row>
    <row r="243" spans="2:11" x14ac:dyDescent="0.2">
      <c r="B243" s="57" t="s">
        <v>78</v>
      </c>
      <c r="C243" s="68">
        <v>3745.4</v>
      </c>
    </row>
    <row r="244" spans="2:11" x14ac:dyDescent="0.2">
      <c r="B244" s="62" t="s">
        <v>79</v>
      </c>
      <c r="C244" s="66">
        <v>13261.3</v>
      </c>
    </row>
    <row r="245" spans="2:11" x14ac:dyDescent="0.2">
      <c r="B245" s="57" t="s">
        <v>80</v>
      </c>
      <c r="C245" s="68">
        <v>27492.77</v>
      </c>
    </row>
    <row r="246" spans="2:11" x14ac:dyDescent="0.2">
      <c r="B246" s="62" t="s">
        <v>81</v>
      </c>
      <c r="C246" s="66">
        <v>32823.21</v>
      </c>
    </row>
    <row r="247" spans="2:11" x14ac:dyDescent="0.2">
      <c r="B247" s="57" t="s">
        <v>82</v>
      </c>
      <c r="C247" s="68">
        <v>36131.589999999997</v>
      </c>
    </row>
    <row r="248" spans="2:11" x14ac:dyDescent="0.2">
      <c r="B248" s="62" t="s">
        <v>83</v>
      </c>
      <c r="C248" s="66">
        <v>37245.759999999987</v>
      </c>
    </row>
    <row r="250" spans="2:11" x14ac:dyDescent="0.2">
      <c r="B250" s="164" t="s">
        <v>262</v>
      </c>
      <c r="C250" s="152"/>
      <c r="D250" s="152"/>
      <c r="E250" s="152"/>
      <c r="F250" s="152"/>
      <c r="G250" s="152"/>
      <c r="H250" s="152"/>
      <c r="I250" s="152"/>
      <c r="J250" s="152"/>
      <c r="K250" s="152"/>
    </row>
    <row r="251" spans="2:11" x14ac:dyDescent="0.2">
      <c r="B251" s="163" t="s">
        <v>263</v>
      </c>
      <c r="C251" s="152"/>
      <c r="D251" s="152"/>
      <c r="E251" s="152"/>
      <c r="F251" s="152"/>
      <c r="G251" s="152"/>
      <c r="H251" s="152"/>
      <c r="I251" s="152"/>
      <c r="J251" s="152"/>
      <c r="K251" s="152"/>
    </row>
    <row r="252" spans="2:11" x14ac:dyDescent="0.2">
      <c r="B252" s="163" t="s">
        <v>264</v>
      </c>
      <c r="C252" s="152"/>
      <c r="D252" s="152"/>
      <c r="E252" s="152"/>
      <c r="F252" s="152"/>
      <c r="G252" s="152"/>
      <c r="H252" s="152"/>
      <c r="I252" s="152"/>
      <c r="J252" s="152"/>
      <c r="K252" s="152"/>
    </row>
    <row r="253" spans="2:11" x14ac:dyDescent="0.2">
      <c r="B253" s="163" t="s">
        <v>265</v>
      </c>
      <c r="C253" s="152"/>
      <c r="D253" s="152"/>
      <c r="E253" s="152"/>
      <c r="F253" s="152"/>
      <c r="G253" s="152"/>
      <c r="H253" s="152"/>
      <c r="I253" s="152"/>
      <c r="J253" s="152"/>
      <c r="K253" s="152"/>
    </row>
    <row r="254" spans="2:11" x14ac:dyDescent="0.2">
      <c r="B254" s="163" t="s">
        <v>266</v>
      </c>
      <c r="C254" s="152"/>
      <c r="D254" s="152"/>
      <c r="E254" s="152"/>
      <c r="F254" s="152"/>
      <c r="G254" s="152"/>
      <c r="H254" s="152"/>
      <c r="I254" s="152"/>
      <c r="J254" s="152"/>
      <c r="K254" s="152"/>
    </row>
    <row r="256" spans="2:11" x14ac:dyDescent="0.2">
      <c r="B256" s="164" t="s">
        <v>267</v>
      </c>
      <c r="C256" s="152"/>
      <c r="D256" s="152"/>
      <c r="E256" s="152"/>
      <c r="F256" s="152"/>
      <c r="G256" s="152"/>
      <c r="H256" s="152"/>
      <c r="I256" s="152"/>
      <c r="J256" s="152"/>
      <c r="K256" s="152"/>
    </row>
    <row r="257" spans="2:11" x14ac:dyDescent="0.2">
      <c r="B257" s="163" t="s">
        <v>268</v>
      </c>
      <c r="C257" s="152"/>
      <c r="D257" s="152"/>
      <c r="E257" s="152"/>
      <c r="F257" s="152"/>
      <c r="G257" s="152"/>
      <c r="H257" s="152"/>
      <c r="I257" s="152"/>
      <c r="J257" s="152"/>
      <c r="K257" s="152"/>
    </row>
    <row r="259" spans="2:11" x14ac:dyDescent="0.2">
      <c r="B259" s="163" t="s">
        <v>269</v>
      </c>
      <c r="C259" s="152"/>
      <c r="D259" s="152"/>
      <c r="E259" s="152"/>
      <c r="F259" s="152"/>
      <c r="G259" s="152"/>
      <c r="H259" s="152"/>
      <c r="I259" s="152"/>
      <c r="J259" s="152"/>
      <c r="K259" s="152"/>
    </row>
    <row r="266" spans="2:11" ht="16" customHeight="1" x14ac:dyDescent="0.2">
      <c r="B266" s="167" t="s">
        <v>270</v>
      </c>
      <c r="C266" s="156"/>
      <c r="D266" s="156"/>
      <c r="E266" s="156"/>
      <c r="F266" s="156"/>
      <c r="G266" s="156"/>
      <c r="H266" s="156"/>
      <c r="I266" s="156"/>
      <c r="J266" s="156"/>
      <c r="K266" s="154"/>
    </row>
    <row r="267" spans="2:11" x14ac:dyDescent="0.2">
      <c r="B267" s="172" t="s">
        <v>271</v>
      </c>
      <c r="C267" s="156"/>
      <c r="D267" s="156"/>
      <c r="E267" s="156"/>
      <c r="F267" s="156"/>
      <c r="G267" s="156"/>
      <c r="H267" s="156"/>
      <c r="I267" s="156"/>
      <c r="J267" s="156"/>
      <c r="K267" s="154"/>
    </row>
    <row r="268" spans="2:11" x14ac:dyDescent="0.2">
      <c r="B268" s="109" t="s">
        <v>73</v>
      </c>
      <c r="C268" s="109" t="s">
        <v>9</v>
      </c>
      <c r="D268" s="109" t="s">
        <v>248</v>
      </c>
      <c r="F268" s="109" t="s">
        <v>10</v>
      </c>
    </row>
    <row r="269" spans="2:11" x14ac:dyDescent="0.2">
      <c r="B269" s="57" t="s">
        <v>83</v>
      </c>
      <c r="C269" s="68">
        <v>1114.17</v>
      </c>
      <c r="D269" s="73">
        <v>13</v>
      </c>
      <c r="F269" s="68">
        <v>480</v>
      </c>
    </row>
    <row r="270" spans="2:11" x14ac:dyDescent="0.2">
      <c r="B270" s="62" t="s">
        <v>82</v>
      </c>
      <c r="C270" s="66">
        <v>3308.38</v>
      </c>
      <c r="D270" s="76">
        <v>29</v>
      </c>
      <c r="F270" s="66">
        <v>23620</v>
      </c>
    </row>
    <row r="271" spans="2:11" x14ac:dyDescent="0.2">
      <c r="B271" s="57" t="s">
        <v>81</v>
      </c>
      <c r="C271" s="68">
        <v>5330.44</v>
      </c>
      <c r="D271" s="73">
        <v>33</v>
      </c>
      <c r="F271" s="68">
        <v>10330</v>
      </c>
    </row>
    <row r="272" spans="2:11" x14ac:dyDescent="0.2">
      <c r="B272" s="62" t="s">
        <v>80</v>
      </c>
      <c r="C272" s="66">
        <v>14231.47</v>
      </c>
      <c r="D272" s="76">
        <v>32</v>
      </c>
      <c r="F272" s="66">
        <v>11432.41</v>
      </c>
    </row>
    <row r="273" spans="2:11" x14ac:dyDescent="0.2">
      <c r="B273" s="57" t="s">
        <v>79</v>
      </c>
      <c r="C273" s="68">
        <v>9515.9</v>
      </c>
      <c r="D273" s="73">
        <v>21</v>
      </c>
      <c r="F273" s="68">
        <v>0</v>
      </c>
    </row>
    <row r="274" spans="2:11" x14ac:dyDescent="0.2">
      <c r="B274" s="62" t="s">
        <v>78</v>
      </c>
      <c r="C274" s="66">
        <v>3745.4</v>
      </c>
      <c r="D274" s="76">
        <v>18</v>
      </c>
      <c r="F274" s="66">
        <v>0</v>
      </c>
    </row>
    <row r="275" spans="2:11" x14ac:dyDescent="0.2">
      <c r="B275" s="64" t="s">
        <v>84</v>
      </c>
      <c r="C275" s="65">
        <f>SUM(C269:C274)</f>
        <v>37245.760000000002</v>
      </c>
      <c r="D275" s="77">
        <f>SUM(D269:D274)</f>
        <v>146</v>
      </c>
      <c r="F275" s="65">
        <f>SUM(F269:F274)</f>
        <v>45862.41</v>
      </c>
    </row>
    <row r="277" spans="2:11" ht="16" customHeight="1" x14ac:dyDescent="0.2">
      <c r="B277" s="167" t="s">
        <v>272</v>
      </c>
      <c r="C277" s="156"/>
      <c r="D277" s="156"/>
      <c r="E277" s="156"/>
      <c r="F277" s="156"/>
      <c r="G277" s="156"/>
      <c r="H277" s="156"/>
      <c r="I277" s="156"/>
      <c r="J277" s="156"/>
      <c r="K277" s="154"/>
    </row>
    <row r="278" spans="2:11" x14ac:dyDescent="0.2">
      <c r="B278" s="109" t="s">
        <v>251</v>
      </c>
      <c r="C278" s="109" t="s">
        <v>273</v>
      </c>
      <c r="D278" s="109" t="s">
        <v>219</v>
      </c>
      <c r="E278" s="109" t="s">
        <v>274</v>
      </c>
      <c r="F278" s="109" t="s">
        <v>275</v>
      </c>
      <c r="G278" s="109" t="s">
        <v>222</v>
      </c>
    </row>
    <row r="279" spans="2:11" x14ac:dyDescent="0.2">
      <c r="B279" s="54" t="s">
        <v>9</v>
      </c>
      <c r="C279" s="70">
        <f>C269</f>
        <v>1114.17</v>
      </c>
      <c r="D279" s="56">
        <f>C270</f>
        <v>3308.38</v>
      </c>
      <c r="F279" s="110">
        <f>IF(C270&lt;&gt;0,(C269-C270)/C270,"")</f>
        <v>-0.66322792424086707</v>
      </c>
      <c r="G279" s="54" t="str">
        <f>IF(F279&lt;&gt;"",TEXT(F279,"+0.0%;-0.0%")&amp;" "&amp;IF(F279&gt;=0,"▲","▼"),"")</f>
        <v>-66% ▼</v>
      </c>
      <c r="H279" s="57" t="str">
        <f>IF(F279&lt;&gt;"",IF(F279&gt;=0,"▲","▼"),"")</f>
        <v>▼</v>
      </c>
    </row>
    <row r="281" spans="2:11" x14ac:dyDescent="0.2">
      <c r="B281" s="54" t="s">
        <v>10</v>
      </c>
      <c r="C281" s="70">
        <f>F269</f>
        <v>480</v>
      </c>
      <c r="D281" s="56">
        <f>F270</f>
        <v>23620</v>
      </c>
      <c r="F281" s="110">
        <f>IF(F270&lt;&gt;0,(F269-F270)/F270,"")</f>
        <v>-0.97967823878069438</v>
      </c>
      <c r="G281" s="54" t="str">
        <f>IF(F281&lt;&gt;"",TEXT(F281,"+0.0%;-0.0%")&amp;" "&amp;IF(F281&gt;=0,"▲","▼"),"")</f>
        <v>-98% ▼</v>
      </c>
      <c r="H281" s="57" t="str">
        <f>IF(F281&lt;&gt;"",IF(F281&gt;=0,"▲","▼"),"")</f>
        <v>▼</v>
      </c>
    </row>
    <row r="287" spans="2:11" ht="16" customHeight="1" x14ac:dyDescent="0.2">
      <c r="B287" s="167" t="s">
        <v>276</v>
      </c>
      <c r="C287" s="156"/>
      <c r="D287" s="156"/>
      <c r="E287" s="156"/>
      <c r="F287" s="156"/>
      <c r="G287" s="156"/>
      <c r="H287" s="156"/>
      <c r="I287" s="156"/>
      <c r="J287" s="156"/>
      <c r="K287" s="154"/>
    </row>
    <row r="288" spans="2:11" x14ac:dyDescent="0.2">
      <c r="B288" s="163" t="s">
        <v>277</v>
      </c>
      <c r="C288" s="152"/>
      <c r="D288" s="152"/>
      <c r="E288" s="152"/>
      <c r="F288" s="152"/>
      <c r="G288" s="152"/>
      <c r="H288" s="152"/>
      <c r="I288" s="152"/>
      <c r="J288" s="152"/>
      <c r="K288" s="152"/>
    </row>
    <row r="289" spans="2:11" x14ac:dyDescent="0.2">
      <c r="B289" s="163" t="s">
        <v>278</v>
      </c>
      <c r="C289" s="152"/>
      <c r="D289" s="152"/>
      <c r="E289" s="152"/>
      <c r="F289" s="152"/>
      <c r="G289" s="152"/>
      <c r="H289" s="152"/>
      <c r="I289" s="152"/>
      <c r="J289" s="152"/>
      <c r="K289" s="152"/>
    </row>
    <row r="290" spans="2:11" x14ac:dyDescent="0.2">
      <c r="B290" s="163" t="s">
        <v>279</v>
      </c>
      <c r="C290" s="152"/>
      <c r="D290" s="152"/>
      <c r="E290" s="152"/>
      <c r="F290" s="152"/>
      <c r="G290" s="152"/>
      <c r="H290" s="152"/>
      <c r="I290" s="152"/>
      <c r="J290" s="152"/>
      <c r="K290" s="152"/>
    </row>
    <row r="291" spans="2:11" x14ac:dyDescent="0.2">
      <c r="B291" s="163" t="s">
        <v>280</v>
      </c>
      <c r="C291" s="152"/>
      <c r="D291" s="152"/>
      <c r="E291" s="152"/>
      <c r="F291" s="152"/>
      <c r="G291" s="152"/>
      <c r="H291" s="152"/>
      <c r="I291" s="152"/>
      <c r="J291" s="152"/>
      <c r="K291" s="152"/>
    </row>
    <row r="292" spans="2:11" x14ac:dyDescent="0.2">
      <c r="B292" s="164"/>
      <c r="C292" s="152"/>
      <c r="D292" s="152"/>
      <c r="E292" s="152"/>
      <c r="F292" s="152"/>
      <c r="G292" s="152"/>
      <c r="H292" s="152"/>
      <c r="I292" s="152"/>
      <c r="J292" s="152"/>
      <c r="K292" s="152"/>
    </row>
    <row r="293" spans="2:11" x14ac:dyDescent="0.2">
      <c r="B293" s="164" t="s">
        <v>281</v>
      </c>
      <c r="C293" s="152"/>
      <c r="D293" s="152"/>
      <c r="E293" s="152"/>
      <c r="F293" s="152"/>
      <c r="G293" s="152"/>
      <c r="H293" s="152"/>
      <c r="I293" s="152"/>
      <c r="J293" s="152"/>
      <c r="K293" s="152"/>
    </row>
    <row r="294" spans="2:11" x14ac:dyDescent="0.2">
      <c r="B294" s="163" t="s">
        <v>282</v>
      </c>
      <c r="C294" s="152"/>
      <c r="D294" s="152"/>
      <c r="E294" s="152"/>
      <c r="F294" s="152"/>
      <c r="G294" s="152"/>
      <c r="H294" s="152"/>
      <c r="I294" s="152"/>
      <c r="J294" s="152"/>
      <c r="K294" s="152"/>
    </row>
    <row r="296" spans="2:11" x14ac:dyDescent="0.2">
      <c r="B296" s="163" t="s">
        <v>283</v>
      </c>
      <c r="C296" s="152"/>
      <c r="D296" s="152"/>
      <c r="E296" s="152"/>
      <c r="F296" s="152"/>
      <c r="G296" s="152"/>
      <c r="H296" s="152"/>
      <c r="I296" s="152"/>
      <c r="J296" s="152"/>
      <c r="K296" s="152"/>
    </row>
    <row r="303" spans="2:11" ht="16" customHeight="1" x14ac:dyDescent="0.2">
      <c r="B303" s="167" t="s">
        <v>284</v>
      </c>
      <c r="C303" s="156"/>
      <c r="D303" s="156"/>
      <c r="E303" s="156"/>
      <c r="F303" s="156"/>
      <c r="G303" s="156"/>
      <c r="H303" s="156"/>
      <c r="I303" s="156"/>
      <c r="J303" s="156"/>
      <c r="K303" s="154"/>
    </row>
    <row r="304" spans="2:11" x14ac:dyDescent="0.2">
      <c r="B304" s="168" t="s">
        <v>285</v>
      </c>
      <c r="C304" s="152"/>
      <c r="D304" s="152"/>
      <c r="E304" s="152"/>
      <c r="F304" s="152"/>
      <c r="G304" s="152"/>
      <c r="H304" s="152"/>
      <c r="I304" s="152"/>
      <c r="J304" s="152"/>
      <c r="K304" s="152"/>
    </row>
    <row r="306" spans="2:10" ht="16" customHeight="1" x14ac:dyDescent="0.2">
      <c r="B306" s="167" t="s">
        <v>286</v>
      </c>
      <c r="C306" s="156"/>
      <c r="D306" s="156"/>
      <c r="E306" s="156"/>
      <c r="F306" s="156"/>
      <c r="G306" s="156"/>
      <c r="H306" s="156"/>
      <c r="I306" s="156"/>
      <c r="J306" s="154"/>
    </row>
    <row r="307" spans="2:10" x14ac:dyDescent="0.2">
      <c r="B307" s="109" t="s">
        <v>93</v>
      </c>
      <c r="C307" s="109" t="s">
        <v>287</v>
      </c>
      <c r="D307" s="109" t="s">
        <v>95</v>
      </c>
      <c r="E307" s="109" t="s">
        <v>288</v>
      </c>
      <c r="F307" s="109" t="s">
        <v>289</v>
      </c>
      <c r="G307" s="109" t="s">
        <v>96</v>
      </c>
      <c r="H307" s="109" t="s">
        <v>97</v>
      </c>
    </row>
    <row r="308" spans="2:10" x14ac:dyDescent="0.2">
      <c r="B308" s="54" t="s">
        <v>98</v>
      </c>
      <c r="C308" s="92">
        <v>9036.83</v>
      </c>
      <c r="D308" s="111">
        <v>0.242627080236784</v>
      </c>
      <c r="E308" s="73">
        <v>1</v>
      </c>
      <c r="F308" s="56">
        <v>9036.83</v>
      </c>
      <c r="G308" s="56">
        <v>1506.1383333333331</v>
      </c>
      <c r="H308" s="100" t="s">
        <v>99</v>
      </c>
    </row>
    <row r="309" spans="2:10" x14ac:dyDescent="0.2">
      <c r="B309" s="59" t="s">
        <v>100</v>
      </c>
      <c r="C309" s="90">
        <v>8744.6799999999985</v>
      </c>
      <c r="D309" s="112">
        <v>0.23478323438694759</v>
      </c>
      <c r="E309" s="76">
        <v>9</v>
      </c>
      <c r="F309" s="61">
        <v>971.63111111111095</v>
      </c>
      <c r="G309" s="61">
        <v>1457.446666666666</v>
      </c>
      <c r="H309" s="102" t="s">
        <v>99</v>
      </c>
    </row>
    <row r="310" spans="2:10" x14ac:dyDescent="0.2">
      <c r="B310" s="54" t="s">
        <v>101</v>
      </c>
      <c r="C310" s="68">
        <v>6624.3600000000006</v>
      </c>
      <c r="D310" s="85">
        <v>0.17785541226706081</v>
      </c>
      <c r="E310" s="73">
        <v>37</v>
      </c>
      <c r="F310" s="56">
        <v>179.0367567567568</v>
      </c>
      <c r="G310" s="56">
        <v>1104.06</v>
      </c>
      <c r="H310" s="75" t="s">
        <v>102</v>
      </c>
    </row>
    <row r="311" spans="2:10" x14ac:dyDescent="0.2">
      <c r="B311" s="59" t="s">
        <v>103</v>
      </c>
      <c r="C311" s="66">
        <v>6455.1</v>
      </c>
      <c r="D311" s="86">
        <v>0.17331100237986821</v>
      </c>
      <c r="E311" s="76">
        <v>39</v>
      </c>
      <c r="F311" s="61">
        <v>165.51538461538459</v>
      </c>
      <c r="G311" s="61">
        <v>1075.8499999999999</v>
      </c>
      <c r="H311" s="87" t="s">
        <v>102</v>
      </c>
    </row>
    <row r="312" spans="2:10" x14ac:dyDescent="0.2">
      <c r="B312" s="54" t="s">
        <v>104</v>
      </c>
      <c r="C312" s="56">
        <v>2235.58</v>
      </c>
      <c r="D312" s="83">
        <v>6.0022402549981521E-2</v>
      </c>
      <c r="E312" s="73">
        <v>9</v>
      </c>
      <c r="F312" s="56">
        <v>248.3977777777778</v>
      </c>
      <c r="G312" s="56">
        <v>372.59666666666658</v>
      </c>
      <c r="H312" s="54" t="s">
        <v>105</v>
      </c>
    </row>
    <row r="313" spans="2:10" x14ac:dyDescent="0.2">
      <c r="B313" s="59" t="s">
        <v>106</v>
      </c>
      <c r="C313" s="60">
        <v>1413.12</v>
      </c>
      <c r="D313" s="88">
        <v>3.7940425970633983E-2</v>
      </c>
      <c r="E313" s="76">
        <v>6</v>
      </c>
      <c r="F313" s="61">
        <v>235.52</v>
      </c>
      <c r="G313" s="61">
        <v>235.52</v>
      </c>
      <c r="H313" s="89" t="s">
        <v>107</v>
      </c>
    </row>
    <row r="314" spans="2:10" x14ac:dyDescent="0.2">
      <c r="B314" s="54" t="s">
        <v>108</v>
      </c>
      <c r="C314" s="92">
        <v>1227.5</v>
      </c>
      <c r="D314" s="111">
        <v>3.295677145532807E-2</v>
      </c>
      <c r="E314" s="73">
        <v>19</v>
      </c>
      <c r="F314" s="56">
        <v>64.60526315789474</v>
      </c>
      <c r="G314" s="56">
        <v>204.58333333333329</v>
      </c>
      <c r="H314" s="100" t="s">
        <v>99</v>
      </c>
    </row>
    <row r="315" spans="2:10" x14ac:dyDescent="0.2">
      <c r="B315" s="59" t="s">
        <v>109</v>
      </c>
      <c r="C315" s="60">
        <v>1217.92</v>
      </c>
      <c r="D315" s="88">
        <v>3.2699560970161433E-2</v>
      </c>
      <c r="E315" s="76">
        <v>14</v>
      </c>
      <c r="F315" s="61">
        <v>86.994285714285724</v>
      </c>
      <c r="G315" s="61">
        <v>202.98666666666671</v>
      </c>
      <c r="H315" s="89" t="s">
        <v>107</v>
      </c>
    </row>
    <row r="316" spans="2:10" x14ac:dyDescent="0.2">
      <c r="B316" s="54" t="s">
        <v>110</v>
      </c>
      <c r="C316" s="92">
        <v>205.34</v>
      </c>
      <c r="D316" s="111">
        <v>5.5131107540831491E-3</v>
      </c>
      <c r="E316" s="73">
        <v>10</v>
      </c>
      <c r="F316" s="56">
        <v>20.533999999999999</v>
      </c>
      <c r="G316" s="56">
        <v>34.223333333333343</v>
      </c>
      <c r="H316" s="100" t="s">
        <v>99</v>
      </c>
    </row>
    <row r="317" spans="2:10" x14ac:dyDescent="0.2">
      <c r="B317" s="59" t="s">
        <v>111</v>
      </c>
      <c r="C317" s="60">
        <v>74.430000000000007</v>
      </c>
      <c r="D317" s="88">
        <v>1.998348268366654E-3</v>
      </c>
      <c r="E317" s="76">
        <v>1</v>
      </c>
      <c r="F317" s="61">
        <v>74.430000000000007</v>
      </c>
      <c r="G317" s="61">
        <v>12.404999999999999</v>
      </c>
      <c r="H317" s="89" t="s">
        <v>107</v>
      </c>
    </row>
    <row r="318" spans="2:10" x14ac:dyDescent="0.2">
      <c r="B318" s="54" t="s">
        <v>60</v>
      </c>
      <c r="C318" s="92">
        <v>10.9</v>
      </c>
      <c r="D318" s="111">
        <v>2.9265076078458332E-4</v>
      </c>
      <c r="E318" s="73">
        <v>1</v>
      </c>
      <c r="F318" s="56">
        <v>10.9</v>
      </c>
      <c r="G318" s="56">
        <v>1.8166666666666671</v>
      </c>
      <c r="H318" s="100" t="s">
        <v>99</v>
      </c>
    </row>
    <row r="320" spans="2:10" x14ac:dyDescent="0.2">
      <c r="B320" s="171" t="e">
        <f>CHOOSE(COUNTA(C308:C318), "«selected category»", "Multiple", "All")</f>
        <v>#VALUE!</v>
      </c>
      <c r="C320" s="156"/>
      <c r="D320" s="156"/>
      <c r="E320" s="156"/>
      <c r="F320" s="156"/>
      <c r="G320" s="156"/>
      <c r="H320" s="156"/>
      <c r="I320" s="154"/>
    </row>
    <row r="322" spans="2:10" ht="16" customHeight="1" x14ac:dyDescent="0.2">
      <c r="B322" s="167" t="s">
        <v>290</v>
      </c>
      <c r="C322" s="156"/>
      <c r="D322" s="156"/>
      <c r="E322" s="156"/>
      <c r="F322" s="156"/>
      <c r="G322" s="156"/>
      <c r="H322" s="156"/>
      <c r="I322" s="156"/>
      <c r="J322" s="154"/>
    </row>
    <row r="332" spans="2:10" ht="16" customHeight="1" x14ac:dyDescent="0.2">
      <c r="B332" s="167" t="s">
        <v>291</v>
      </c>
      <c r="C332" s="156"/>
      <c r="D332" s="156"/>
      <c r="E332" s="156"/>
      <c r="F332" s="156"/>
      <c r="G332" s="156"/>
      <c r="H332" s="156"/>
      <c r="I332" s="156"/>
      <c r="J332" s="154"/>
    </row>
    <row r="333" spans="2:10" x14ac:dyDescent="0.2">
      <c r="B333" s="109" t="s">
        <v>73</v>
      </c>
      <c r="C333" s="109" t="s">
        <v>9</v>
      </c>
      <c r="D333" s="109" t="s">
        <v>248</v>
      </c>
      <c r="E333" s="109" t="s">
        <v>292</v>
      </c>
      <c r="F333" s="109" t="s">
        <v>293</v>
      </c>
      <c r="G333" s="109" t="s">
        <v>294</v>
      </c>
    </row>
    <row r="334" spans="2:10" x14ac:dyDescent="0.2">
      <c r="B334" s="57" t="s">
        <v>78</v>
      </c>
      <c r="C334" s="56">
        <v>3745.4</v>
      </c>
      <c r="D334" s="73">
        <v>18</v>
      </c>
      <c r="E334" s="83">
        <v>0.1005590971965668</v>
      </c>
      <c r="F334" s="56">
        <v>3745.4</v>
      </c>
      <c r="G334" s="100" t="s">
        <v>295</v>
      </c>
    </row>
    <row r="335" spans="2:10" x14ac:dyDescent="0.2">
      <c r="B335" s="62" t="s">
        <v>79</v>
      </c>
      <c r="C335" s="61">
        <v>9515.9</v>
      </c>
      <c r="D335" s="76">
        <v>21</v>
      </c>
      <c r="E335" s="84">
        <v>0.25548948390367121</v>
      </c>
      <c r="F335" s="61">
        <v>13261.3</v>
      </c>
      <c r="G335" s="102" t="s">
        <v>296</v>
      </c>
    </row>
    <row r="336" spans="2:10" x14ac:dyDescent="0.2">
      <c r="B336" s="57" t="s">
        <v>80</v>
      </c>
      <c r="C336" s="56">
        <v>14231.47</v>
      </c>
      <c r="D336" s="73">
        <v>32</v>
      </c>
      <c r="E336" s="83">
        <v>0.38209637821862141</v>
      </c>
      <c r="F336" s="56">
        <v>27492.77</v>
      </c>
      <c r="G336" s="100" t="s">
        <v>297</v>
      </c>
    </row>
    <row r="337" spans="2:11" x14ac:dyDescent="0.2">
      <c r="B337" s="62" t="s">
        <v>81</v>
      </c>
      <c r="C337" s="61">
        <v>5330.44</v>
      </c>
      <c r="D337" s="76">
        <v>33</v>
      </c>
      <c r="E337" s="84">
        <v>0.1431153505795022</v>
      </c>
      <c r="F337" s="61">
        <v>32823.21</v>
      </c>
      <c r="G337" s="102" t="s">
        <v>298</v>
      </c>
    </row>
    <row r="338" spans="2:11" x14ac:dyDescent="0.2">
      <c r="B338" s="57" t="s">
        <v>82</v>
      </c>
      <c r="C338" s="56">
        <v>3308.38</v>
      </c>
      <c r="D338" s="73">
        <v>29</v>
      </c>
      <c r="E338" s="83">
        <v>8.8825681097660508E-2</v>
      </c>
      <c r="F338" s="56">
        <v>36131.589999999997</v>
      </c>
      <c r="G338" s="100" t="s">
        <v>299</v>
      </c>
    </row>
    <row r="339" spans="2:11" x14ac:dyDescent="0.2">
      <c r="B339" s="62" t="s">
        <v>83</v>
      </c>
      <c r="C339" s="61">
        <v>1114.17</v>
      </c>
      <c r="D339" s="76">
        <v>13</v>
      </c>
      <c r="E339" s="84">
        <v>2.99140090039779E-2</v>
      </c>
      <c r="F339" s="61">
        <v>37245.759999999987</v>
      </c>
      <c r="G339" s="102" t="s">
        <v>300</v>
      </c>
    </row>
    <row r="342" spans="2:11" ht="16" customHeight="1" x14ac:dyDescent="0.2">
      <c r="B342" s="167" t="s">
        <v>301</v>
      </c>
      <c r="C342" s="156"/>
      <c r="D342" s="156"/>
      <c r="E342" s="156"/>
      <c r="F342" s="156"/>
      <c r="G342" s="156"/>
      <c r="H342" s="156"/>
      <c r="I342" s="156"/>
      <c r="J342" s="154"/>
    </row>
    <row r="343" spans="2:11" x14ac:dyDescent="0.2">
      <c r="B343" s="109" t="s">
        <v>117</v>
      </c>
      <c r="C343" s="109" t="s">
        <v>302</v>
      </c>
      <c r="D343" s="109" t="s">
        <v>115</v>
      </c>
      <c r="E343" s="109" t="s">
        <v>118</v>
      </c>
      <c r="F343" s="109" t="s">
        <v>119</v>
      </c>
    </row>
    <row r="344" spans="2:11" x14ac:dyDescent="0.2">
      <c r="B344" s="75" t="s">
        <v>123</v>
      </c>
      <c r="C344" s="114">
        <v>4</v>
      </c>
      <c r="D344" s="68">
        <v>365.8</v>
      </c>
      <c r="E344" s="68">
        <v>4389.5999999999995</v>
      </c>
      <c r="F344" s="54" t="s">
        <v>303</v>
      </c>
    </row>
    <row r="345" spans="2:11" x14ac:dyDescent="0.2">
      <c r="B345" s="89" t="s">
        <v>128</v>
      </c>
      <c r="C345" s="115">
        <v>4</v>
      </c>
      <c r="D345" s="60">
        <v>331.8</v>
      </c>
      <c r="E345" s="60">
        <v>3981.6</v>
      </c>
      <c r="F345" s="59" t="s">
        <v>304</v>
      </c>
    </row>
    <row r="346" spans="2:11" x14ac:dyDescent="0.2">
      <c r="B346" s="100" t="s">
        <v>132</v>
      </c>
      <c r="C346" s="116">
        <v>7</v>
      </c>
      <c r="D346" s="92">
        <v>646.93999999999994</v>
      </c>
      <c r="E346" s="92">
        <v>7763.2799999999988</v>
      </c>
      <c r="F346" s="54" t="s">
        <v>133</v>
      </c>
    </row>
    <row r="349" spans="2:11" ht="16" customHeight="1" x14ac:dyDescent="0.2">
      <c r="B349" s="167" t="s">
        <v>305</v>
      </c>
      <c r="C349" s="156"/>
      <c r="D349" s="156"/>
      <c r="E349" s="156"/>
      <c r="F349" s="156"/>
      <c r="G349" s="156"/>
      <c r="H349" s="156"/>
      <c r="I349" s="156"/>
      <c r="J349" s="156"/>
      <c r="K349" s="154"/>
    </row>
    <row r="350" spans="2:11" x14ac:dyDescent="0.2">
      <c r="B350" s="168" t="s">
        <v>306</v>
      </c>
      <c r="C350" s="152"/>
      <c r="D350" s="152"/>
      <c r="E350" s="152"/>
      <c r="F350" s="152"/>
      <c r="G350" s="152"/>
      <c r="H350" s="152"/>
      <c r="I350" s="152"/>
      <c r="J350" s="152"/>
      <c r="K350" s="152"/>
    </row>
    <row r="351" spans="2:11" x14ac:dyDescent="0.2">
      <c r="B351" s="109" t="s">
        <v>307</v>
      </c>
      <c r="C351" s="109" t="s">
        <v>308</v>
      </c>
      <c r="D351" s="109" t="s">
        <v>309</v>
      </c>
    </row>
    <row r="352" spans="2:11" x14ac:dyDescent="0.2">
      <c r="B352" s="100" t="s">
        <v>310</v>
      </c>
      <c r="C352" s="117" t="e">
        <f>CHOOSE(COUNTA(C308:C318),B308,"Multiple","All")</f>
        <v>#VALUE!</v>
      </c>
      <c r="D352" s="54" t="s">
        <v>311</v>
      </c>
    </row>
    <row r="354" spans="2:11" x14ac:dyDescent="0.2">
      <c r="B354" s="100" t="s">
        <v>312</v>
      </c>
      <c r="C354" s="117" t="e">
        <f>CHOOSE(COUNTA(C334:C339),G334,"Multiple","All Months")</f>
        <v>#VALUE!</v>
      </c>
      <c r="D354" s="54" t="s">
        <v>313</v>
      </c>
    </row>
    <row r="355" spans="2:11" ht="26" x14ac:dyDescent="0.2">
      <c r="B355" s="100" t="s">
        <v>314</v>
      </c>
      <c r="C355" s="118" t="str">
        <f>"Filters: Category + Institution + Period"</f>
        <v>Filters: Category + Institution + Period</v>
      </c>
      <c r="D355" s="54" t="s">
        <v>315</v>
      </c>
    </row>
    <row r="358" spans="2:11" ht="16" customHeight="1" x14ac:dyDescent="0.2">
      <c r="B358" s="167" t="s">
        <v>316</v>
      </c>
      <c r="C358" s="156"/>
      <c r="D358" s="156"/>
      <c r="E358" s="156"/>
      <c r="F358" s="156"/>
      <c r="G358" s="156"/>
      <c r="H358" s="156"/>
      <c r="I358" s="156"/>
      <c r="J358" s="156"/>
      <c r="K358" s="154"/>
    </row>
    <row r="359" spans="2:11" x14ac:dyDescent="0.2">
      <c r="B359" s="163" t="s">
        <v>317</v>
      </c>
      <c r="C359" s="152"/>
      <c r="D359" s="152"/>
      <c r="E359" s="152"/>
      <c r="F359" s="152"/>
      <c r="G359" s="152"/>
      <c r="H359" s="152"/>
      <c r="I359" s="152"/>
      <c r="J359" s="152"/>
      <c r="K359" s="152"/>
    </row>
    <row r="361" spans="2:11" x14ac:dyDescent="0.2">
      <c r="B361" s="163" t="s">
        <v>318</v>
      </c>
      <c r="C361" s="152"/>
      <c r="D361" s="152"/>
      <c r="E361" s="152"/>
      <c r="F361" s="152"/>
      <c r="G361" s="152"/>
      <c r="H361" s="152"/>
      <c r="I361" s="152"/>
      <c r="J361" s="152"/>
      <c r="K361" s="152"/>
    </row>
    <row r="362" spans="2:11" x14ac:dyDescent="0.2">
      <c r="B362" s="163" t="s">
        <v>319</v>
      </c>
      <c r="C362" s="152"/>
      <c r="D362" s="152"/>
      <c r="E362" s="152"/>
      <c r="F362" s="152"/>
      <c r="G362" s="152"/>
      <c r="H362" s="152"/>
      <c r="I362" s="152"/>
      <c r="J362" s="152"/>
      <c r="K362" s="152"/>
    </row>
    <row r="364" spans="2:11" x14ac:dyDescent="0.2">
      <c r="B364" s="163"/>
      <c r="C364" s="152"/>
      <c r="D364" s="152"/>
      <c r="E364" s="152"/>
      <c r="F364" s="152"/>
      <c r="G364" s="152"/>
      <c r="H364" s="152"/>
      <c r="I364" s="152"/>
      <c r="J364" s="152"/>
      <c r="K364" s="152"/>
    </row>
    <row r="365" spans="2:11" x14ac:dyDescent="0.2">
      <c r="B365" s="164" t="s">
        <v>320</v>
      </c>
      <c r="C365" s="152"/>
      <c r="D365" s="152"/>
      <c r="E365" s="152"/>
      <c r="F365" s="152"/>
      <c r="G365" s="152"/>
      <c r="H365" s="152"/>
      <c r="I365" s="152"/>
      <c r="J365" s="152"/>
      <c r="K365" s="152"/>
    </row>
    <row r="366" spans="2:11" x14ac:dyDescent="0.2">
      <c r="B366" s="164" t="s">
        <v>321</v>
      </c>
      <c r="C366" s="152"/>
      <c r="D366" s="152"/>
      <c r="E366" s="152"/>
      <c r="F366" s="152"/>
      <c r="G366" s="152"/>
      <c r="H366" s="152"/>
      <c r="I366" s="152"/>
      <c r="J366" s="152"/>
      <c r="K366" s="152"/>
    </row>
    <row r="367" spans="2:11" x14ac:dyDescent="0.2">
      <c r="B367" s="164" t="s">
        <v>322</v>
      </c>
      <c r="C367" s="152"/>
      <c r="D367" s="152"/>
      <c r="E367" s="152"/>
      <c r="F367" s="152"/>
      <c r="G367" s="152"/>
      <c r="H367" s="152"/>
      <c r="I367" s="152"/>
      <c r="J367" s="152"/>
      <c r="K367" s="152"/>
    </row>
    <row r="368" spans="2:11" x14ac:dyDescent="0.2">
      <c r="B368" s="164" t="s">
        <v>323</v>
      </c>
      <c r="C368" s="152"/>
      <c r="D368" s="152"/>
      <c r="E368" s="152"/>
      <c r="F368" s="152"/>
      <c r="G368" s="152"/>
      <c r="H368" s="152"/>
      <c r="I368" s="152"/>
      <c r="J368" s="152"/>
      <c r="K368" s="152"/>
    </row>
    <row r="369" spans="2:11" x14ac:dyDescent="0.2">
      <c r="B369" s="164" t="s">
        <v>324</v>
      </c>
      <c r="C369" s="152"/>
      <c r="D369" s="152"/>
      <c r="E369" s="152"/>
      <c r="F369" s="152"/>
      <c r="G369" s="152"/>
      <c r="H369" s="152"/>
      <c r="I369" s="152"/>
      <c r="J369" s="152"/>
      <c r="K369" s="152"/>
    </row>
    <row r="372" spans="2:11" ht="16" customHeight="1" x14ac:dyDescent="0.2">
      <c r="B372" s="167" t="s">
        <v>325</v>
      </c>
      <c r="C372" s="156"/>
      <c r="D372" s="156"/>
      <c r="E372" s="156"/>
      <c r="F372" s="156"/>
      <c r="G372" s="156"/>
      <c r="H372" s="156"/>
      <c r="I372" s="156"/>
      <c r="J372" s="156"/>
      <c r="K372" s="154"/>
    </row>
    <row r="373" spans="2:11" x14ac:dyDescent="0.2">
      <c r="B373" s="169" t="s">
        <v>326</v>
      </c>
      <c r="C373" s="152"/>
      <c r="D373" s="152"/>
      <c r="E373" s="152"/>
      <c r="F373" s="152"/>
      <c r="G373" s="152"/>
      <c r="H373" s="152"/>
      <c r="I373" s="152"/>
      <c r="J373" s="152"/>
      <c r="K373" s="152"/>
    </row>
    <row r="375" spans="2:11" ht="16" customHeight="1" x14ac:dyDescent="0.2">
      <c r="B375" s="167" t="s">
        <v>327</v>
      </c>
      <c r="C375" s="156"/>
      <c r="D375" s="156"/>
      <c r="E375" s="156"/>
      <c r="F375" s="156"/>
      <c r="G375" s="156"/>
      <c r="H375" s="156"/>
      <c r="I375" s="156"/>
      <c r="J375" s="154"/>
    </row>
    <row r="376" spans="2:11" x14ac:dyDescent="0.2">
      <c r="B376" s="109" t="s">
        <v>328</v>
      </c>
      <c r="C376" s="109" t="s">
        <v>329</v>
      </c>
      <c r="D376" s="109" t="s">
        <v>93</v>
      </c>
      <c r="E376" s="109" t="s">
        <v>287</v>
      </c>
      <c r="F376" s="109" t="s">
        <v>288</v>
      </c>
      <c r="G376" s="109" t="s">
        <v>289</v>
      </c>
      <c r="H376" s="109" t="s">
        <v>330</v>
      </c>
    </row>
    <row r="377" spans="2:11" x14ac:dyDescent="0.2">
      <c r="B377" s="73">
        <v>1</v>
      </c>
      <c r="C377" s="54" t="s">
        <v>331</v>
      </c>
      <c r="D377" s="100" t="s">
        <v>98</v>
      </c>
      <c r="E377" s="92">
        <v>9036.83</v>
      </c>
      <c r="F377" s="73">
        <v>1</v>
      </c>
      <c r="G377" s="56">
        <v>9036.83</v>
      </c>
      <c r="H377" s="111">
        <v>0.242627080236784</v>
      </c>
    </row>
    <row r="378" spans="2:11" x14ac:dyDescent="0.2">
      <c r="B378" s="76">
        <v>2</v>
      </c>
      <c r="C378" s="59" t="s">
        <v>332</v>
      </c>
      <c r="D378" s="102" t="s">
        <v>100</v>
      </c>
      <c r="E378" s="90">
        <v>7395.6299999999992</v>
      </c>
      <c r="F378" s="76">
        <v>3</v>
      </c>
      <c r="G378" s="61">
        <v>2465.21</v>
      </c>
      <c r="H378" s="112">
        <v>0.1985630042184667</v>
      </c>
    </row>
    <row r="379" spans="2:11" x14ac:dyDescent="0.2">
      <c r="B379" s="73">
        <v>3</v>
      </c>
      <c r="C379" s="54" t="s">
        <v>333</v>
      </c>
      <c r="D379" s="75" t="s">
        <v>101</v>
      </c>
      <c r="E379" s="68">
        <v>2182.73</v>
      </c>
      <c r="F379" s="73">
        <v>5</v>
      </c>
      <c r="G379" s="56">
        <v>436.54599999999999</v>
      </c>
      <c r="H379" s="85">
        <v>5.8603449090581038E-2</v>
      </c>
    </row>
    <row r="380" spans="2:11" x14ac:dyDescent="0.2">
      <c r="B380" s="76">
        <v>4</v>
      </c>
      <c r="C380" s="59" t="s">
        <v>334</v>
      </c>
      <c r="D380" s="87" t="s">
        <v>101</v>
      </c>
      <c r="E380" s="66">
        <v>1252.3499999999999</v>
      </c>
      <c r="F380" s="76">
        <v>2</v>
      </c>
      <c r="G380" s="61">
        <v>626.17499999999995</v>
      </c>
      <c r="H380" s="86">
        <v>3.3623961492529622E-2</v>
      </c>
    </row>
    <row r="381" spans="2:11" x14ac:dyDescent="0.2">
      <c r="B381" s="73">
        <v>5</v>
      </c>
      <c r="C381" s="54" t="s">
        <v>335</v>
      </c>
      <c r="D381" s="75" t="s">
        <v>101</v>
      </c>
      <c r="E381" s="68">
        <v>1074.79</v>
      </c>
      <c r="F381" s="73">
        <v>10</v>
      </c>
      <c r="G381" s="56">
        <v>107.479</v>
      </c>
      <c r="H381" s="85">
        <v>2.8856707448042401E-2</v>
      </c>
    </row>
    <row r="382" spans="2:11" x14ac:dyDescent="0.2">
      <c r="B382" s="76">
        <v>6</v>
      </c>
      <c r="C382" s="59" t="s">
        <v>336</v>
      </c>
      <c r="D382" s="89" t="s">
        <v>106</v>
      </c>
      <c r="E382" s="60">
        <v>942.08</v>
      </c>
      <c r="F382" s="76">
        <v>4</v>
      </c>
      <c r="G382" s="61">
        <v>235.52</v>
      </c>
      <c r="H382" s="88">
        <v>2.529361731375598E-2</v>
      </c>
    </row>
    <row r="383" spans="2:11" x14ac:dyDescent="0.2">
      <c r="B383" s="73">
        <v>7</v>
      </c>
      <c r="C383" s="54" t="s">
        <v>337</v>
      </c>
      <c r="D383" s="75" t="s">
        <v>101</v>
      </c>
      <c r="E383" s="68">
        <v>650.99</v>
      </c>
      <c r="F383" s="73">
        <v>7</v>
      </c>
      <c r="G383" s="56">
        <v>92.998571428571424</v>
      </c>
      <c r="H383" s="85">
        <v>1.7478231079188611E-2</v>
      </c>
    </row>
    <row r="384" spans="2:11" x14ac:dyDescent="0.2">
      <c r="B384" s="76">
        <v>8</v>
      </c>
      <c r="C384" s="59" t="s">
        <v>338</v>
      </c>
      <c r="D384" s="87" t="s">
        <v>101</v>
      </c>
      <c r="E384" s="66">
        <v>622.66999999999996</v>
      </c>
      <c r="F384" s="76">
        <v>3</v>
      </c>
      <c r="G384" s="61">
        <v>207.55666666666659</v>
      </c>
      <c r="H384" s="86">
        <v>1.671787607502169E-2</v>
      </c>
    </row>
    <row r="385" spans="2:10" x14ac:dyDescent="0.2">
      <c r="B385" s="73">
        <v>9</v>
      </c>
      <c r="C385" s="54" t="s">
        <v>339</v>
      </c>
      <c r="D385" s="54" t="s">
        <v>104</v>
      </c>
      <c r="E385" s="56">
        <v>524.63</v>
      </c>
      <c r="F385" s="73">
        <v>1</v>
      </c>
      <c r="G385" s="56">
        <v>524.63</v>
      </c>
      <c r="H385" s="83">
        <v>1.4085630149579439E-2</v>
      </c>
    </row>
    <row r="386" spans="2:10" x14ac:dyDescent="0.2">
      <c r="B386" s="76">
        <v>10</v>
      </c>
      <c r="C386" s="59" t="s">
        <v>340</v>
      </c>
      <c r="D386" s="59" t="s">
        <v>104</v>
      </c>
      <c r="E386" s="61">
        <v>509</v>
      </c>
      <c r="F386" s="76">
        <v>1</v>
      </c>
      <c r="G386" s="61">
        <v>509</v>
      </c>
      <c r="H386" s="84">
        <v>1.366598506783054E-2</v>
      </c>
    </row>
    <row r="387" spans="2:10" x14ac:dyDescent="0.2">
      <c r="B387" s="73">
        <v>11</v>
      </c>
      <c r="C387" s="54" t="s">
        <v>341</v>
      </c>
      <c r="D387" s="100" t="s">
        <v>100</v>
      </c>
      <c r="E387" s="92">
        <v>483.98</v>
      </c>
      <c r="F387" s="73">
        <v>1</v>
      </c>
      <c r="G387" s="56">
        <v>483.98</v>
      </c>
      <c r="H387" s="111">
        <v>1.29942307527085E-2</v>
      </c>
    </row>
    <row r="388" spans="2:10" x14ac:dyDescent="0.2">
      <c r="B388" s="76">
        <v>12</v>
      </c>
      <c r="C388" s="59" t="s">
        <v>342</v>
      </c>
      <c r="D388" s="59" t="s">
        <v>104</v>
      </c>
      <c r="E388" s="61">
        <v>478.17</v>
      </c>
      <c r="F388" s="76">
        <v>1</v>
      </c>
      <c r="G388" s="61">
        <v>478.17</v>
      </c>
      <c r="H388" s="84">
        <v>1.283823984260222E-2</v>
      </c>
    </row>
    <row r="389" spans="2:10" x14ac:dyDescent="0.2">
      <c r="B389" s="73">
        <v>13</v>
      </c>
      <c r="C389" s="54" t="s">
        <v>343</v>
      </c>
      <c r="D389" s="100" t="s">
        <v>100</v>
      </c>
      <c r="E389" s="92">
        <v>453.64</v>
      </c>
      <c r="F389" s="73">
        <v>1</v>
      </c>
      <c r="G389" s="56">
        <v>453.64</v>
      </c>
      <c r="H389" s="111">
        <v>1.2179641387368659E-2</v>
      </c>
    </row>
    <row r="390" spans="2:10" x14ac:dyDescent="0.2">
      <c r="B390" s="76">
        <v>14</v>
      </c>
      <c r="C390" s="59" t="s">
        <v>344</v>
      </c>
      <c r="D390" s="87" t="s">
        <v>103</v>
      </c>
      <c r="E390" s="66">
        <v>336</v>
      </c>
      <c r="F390" s="76">
        <v>1</v>
      </c>
      <c r="G390" s="61">
        <v>336</v>
      </c>
      <c r="H390" s="86">
        <v>9.0211610663871542E-3</v>
      </c>
    </row>
    <row r="391" spans="2:10" x14ac:dyDescent="0.2">
      <c r="B391" s="73">
        <v>15</v>
      </c>
      <c r="C391" s="54" t="s">
        <v>345</v>
      </c>
      <c r="D391" s="75" t="s">
        <v>103</v>
      </c>
      <c r="E391" s="68">
        <v>336</v>
      </c>
      <c r="F391" s="73">
        <v>1</v>
      </c>
      <c r="G391" s="56">
        <v>336</v>
      </c>
      <c r="H391" s="85">
        <v>9.0211610663871542E-3</v>
      </c>
    </row>
    <row r="392" spans="2:10" x14ac:dyDescent="0.2">
      <c r="B392" s="76">
        <v>16</v>
      </c>
      <c r="C392" s="59" t="s">
        <v>346</v>
      </c>
      <c r="D392" s="87" t="s">
        <v>101</v>
      </c>
      <c r="E392" s="66">
        <v>335.43</v>
      </c>
      <c r="F392" s="76">
        <v>3</v>
      </c>
      <c r="G392" s="61">
        <v>111.81</v>
      </c>
      <c r="H392" s="86">
        <v>9.0058573110066761E-3</v>
      </c>
    </row>
    <row r="393" spans="2:10" x14ac:dyDescent="0.2">
      <c r="B393" s="73">
        <v>17</v>
      </c>
      <c r="C393" s="54" t="s">
        <v>347</v>
      </c>
      <c r="D393" s="100" t="s">
        <v>108</v>
      </c>
      <c r="E393" s="92">
        <v>325.19999999999987</v>
      </c>
      <c r="F393" s="73">
        <v>8</v>
      </c>
      <c r="G393" s="56">
        <v>40.649999999999991</v>
      </c>
      <c r="H393" s="111">
        <v>8.7311951749675636E-3</v>
      </c>
    </row>
    <row r="394" spans="2:10" x14ac:dyDescent="0.2">
      <c r="B394" s="76">
        <v>18</v>
      </c>
      <c r="C394" s="59" t="s">
        <v>348</v>
      </c>
      <c r="D394" s="102" t="s">
        <v>108</v>
      </c>
      <c r="E394" s="90">
        <v>293.39999999999998</v>
      </c>
      <c r="F394" s="76">
        <v>6</v>
      </c>
      <c r="G394" s="61">
        <v>48.9</v>
      </c>
      <c r="H394" s="112">
        <v>7.8774067168987816E-3</v>
      </c>
    </row>
    <row r="395" spans="2:10" x14ac:dyDescent="0.2">
      <c r="B395" s="73">
        <v>19</v>
      </c>
      <c r="C395" s="54" t="s">
        <v>349</v>
      </c>
      <c r="D395" s="54" t="s">
        <v>104</v>
      </c>
      <c r="E395" s="56">
        <v>272.20999999999998</v>
      </c>
      <c r="F395" s="73">
        <v>1</v>
      </c>
      <c r="G395" s="56">
        <v>272.20999999999998</v>
      </c>
      <c r="H395" s="83">
        <v>7.3084828984560906E-3</v>
      </c>
    </row>
    <row r="396" spans="2:10" x14ac:dyDescent="0.2">
      <c r="B396" s="76">
        <v>20</v>
      </c>
      <c r="C396" s="59" t="s">
        <v>350</v>
      </c>
      <c r="D396" s="102" t="s">
        <v>108</v>
      </c>
      <c r="E396" s="90">
        <v>269</v>
      </c>
      <c r="F396" s="76">
        <v>1</v>
      </c>
      <c r="G396" s="61">
        <v>269</v>
      </c>
      <c r="H396" s="112">
        <v>7.2222985918397146E-3</v>
      </c>
    </row>
    <row r="399" spans="2:10" ht="16" customHeight="1" x14ac:dyDescent="0.2">
      <c r="B399" s="167" t="s">
        <v>351</v>
      </c>
      <c r="C399" s="156"/>
      <c r="D399" s="156"/>
      <c r="E399" s="156"/>
      <c r="F399" s="156"/>
      <c r="G399" s="156"/>
      <c r="H399" s="156"/>
      <c r="I399" s="156"/>
      <c r="J399" s="154"/>
    </row>
    <row r="418" spans="2:10" ht="16" customHeight="1" x14ac:dyDescent="0.2">
      <c r="B418" s="167" t="s">
        <v>352</v>
      </c>
      <c r="C418" s="156"/>
      <c r="D418" s="156"/>
      <c r="E418" s="156"/>
      <c r="F418" s="156"/>
      <c r="G418" s="156"/>
      <c r="H418" s="156"/>
      <c r="I418" s="156"/>
      <c r="J418" s="154"/>
    </row>
    <row r="419" spans="2:10" x14ac:dyDescent="0.2">
      <c r="B419" s="109" t="s">
        <v>328</v>
      </c>
      <c r="C419" s="109" t="s">
        <v>113</v>
      </c>
      <c r="D419" s="109" t="s">
        <v>114</v>
      </c>
      <c r="E419" s="109" t="s">
        <v>115</v>
      </c>
      <c r="F419" s="109" t="s">
        <v>353</v>
      </c>
      <c r="G419" s="109" t="s">
        <v>93</v>
      </c>
      <c r="H419" s="109" t="s">
        <v>354</v>
      </c>
      <c r="I419" s="109" t="s">
        <v>117</v>
      </c>
    </row>
    <row r="420" spans="2:10" x14ac:dyDescent="0.2">
      <c r="B420" s="73">
        <v>1</v>
      </c>
      <c r="C420" s="54" t="s">
        <v>134</v>
      </c>
      <c r="D420" s="54" t="s">
        <v>135</v>
      </c>
      <c r="E420" s="92">
        <v>418.43</v>
      </c>
      <c r="F420" s="92">
        <v>5021.16</v>
      </c>
      <c r="G420" s="54" t="s">
        <v>136</v>
      </c>
      <c r="H420" s="57" t="s">
        <v>137</v>
      </c>
      <c r="I420" s="93" t="s">
        <v>132</v>
      </c>
    </row>
    <row r="421" spans="2:10" x14ac:dyDescent="0.2">
      <c r="B421" s="76">
        <v>2</v>
      </c>
      <c r="C421" s="59" t="s">
        <v>147</v>
      </c>
      <c r="D421" s="59" t="s">
        <v>148</v>
      </c>
      <c r="E421" s="66">
        <v>149.9</v>
      </c>
      <c r="F421" s="66">
        <v>1798.8</v>
      </c>
      <c r="G421" s="59" t="s">
        <v>149</v>
      </c>
      <c r="H421" s="67" t="s">
        <v>34</v>
      </c>
      <c r="I421" s="67" t="s">
        <v>123</v>
      </c>
    </row>
    <row r="422" spans="2:10" x14ac:dyDescent="0.2">
      <c r="B422" s="73">
        <v>3</v>
      </c>
      <c r="C422" s="54" t="s">
        <v>125</v>
      </c>
      <c r="D422" s="54" t="s">
        <v>126</v>
      </c>
      <c r="E422" s="55">
        <v>106</v>
      </c>
      <c r="F422" s="55">
        <v>1272</v>
      </c>
      <c r="G422" s="54" t="s">
        <v>127</v>
      </c>
      <c r="H422" s="93" t="s">
        <v>41</v>
      </c>
      <c r="I422" s="58" t="s">
        <v>128</v>
      </c>
    </row>
    <row r="423" spans="2:10" x14ac:dyDescent="0.2">
      <c r="B423" s="76">
        <v>4</v>
      </c>
      <c r="C423" s="59" t="s">
        <v>138</v>
      </c>
      <c r="D423" s="59" t="s">
        <v>121</v>
      </c>
      <c r="E423" s="60">
        <v>106</v>
      </c>
      <c r="F423" s="60">
        <v>1272</v>
      </c>
      <c r="G423" s="59" t="s">
        <v>139</v>
      </c>
      <c r="H423" s="91" t="s">
        <v>41</v>
      </c>
      <c r="I423" s="63" t="s">
        <v>128</v>
      </c>
    </row>
    <row r="424" spans="2:10" x14ac:dyDescent="0.2">
      <c r="B424" s="73">
        <v>5</v>
      </c>
      <c r="C424" s="54" t="s">
        <v>159</v>
      </c>
      <c r="D424" s="54" t="s">
        <v>160</v>
      </c>
      <c r="E424" s="55">
        <v>99.9</v>
      </c>
      <c r="F424" s="55">
        <v>1198.8</v>
      </c>
      <c r="G424" s="54" t="s">
        <v>161</v>
      </c>
      <c r="H424" s="69" t="s">
        <v>34</v>
      </c>
      <c r="I424" s="58" t="s">
        <v>128</v>
      </c>
    </row>
    <row r="425" spans="2:10" x14ac:dyDescent="0.2">
      <c r="B425" s="76">
        <v>6</v>
      </c>
      <c r="C425" s="59" t="s">
        <v>130</v>
      </c>
      <c r="D425" s="59" t="s">
        <v>121</v>
      </c>
      <c r="E425" s="90">
        <v>96.99</v>
      </c>
      <c r="F425" s="90">
        <v>1163.8800000000001</v>
      </c>
      <c r="G425" s="59" t="s">
        <v>131</v>
      </c>
      <c r="H425" s="67" t="s">
        <v>34</v>
      </c>
      <c r="I425" s="91" t="s">
        <v>132</v>
      </c>
    </row>
    <row r="426" spans="2:10" x14ac:dyDescent="0.2">
      <c r="B426" s="73">
        <v>7</v>
      </c>
      <c r="C426" s="54" t="s">
        <v>120</v>
      </c>
      <c r="D426" s="54" t="s">
        <v>121</v>
      </c>
      <c r="E426" s="68">
        <v>92</v>
      </c>
      <c r="F426" s="68">
        <v>1104</v>
      </c>
      <c r="G426" s="54" t="s">
        <v>122</v>
      </c>
      <c r="H426" s="69" t="s">
        <v>34</v>
      </c>
      <c r="I426" s="69" t="s">
        <v>123</v>
      </c>
    </row>
    <row r="427" spans="2:10" x14ac:dyDescent="0.2">
      <c r="B427" s="76">
        <v>8</v>
      </c>
      <c r="C427" s="59" t="s">
        <v>120</v>
      </c>
      <c r="D427" s="59" t="s">
        <v>121</v>
      </c>
      <c r="E427" s="66">
        <v>92</v>
      </c>
      <c r="F427" s="66">
        <v>1104</v>
      </c>
      <c r="G427" s="59" t="s">
        <v>122</v>
      </c>
      <c r="H427" s="67" t="s">
        <v>34</v>
      </c>
      <c r="I427" s="67" t="s">
        <v>123</v>
      </c>
    </row>
    <row r="428" spans="2:10" x14ac:dyDescent="0.2">
      <c r="B428" s="73">
        <v>9</v>
      </c>
      <c r="C428" s="54" t="s">
        <v>140</v>
      </c>
      <c r="D428" s="54" t="s">
        <v>141</v>
      </c>
      <c r="E428" s="92">
        <v>45.37</v>
      </c>
      <c r="F428" s="92">
        <v>544.43999999999994</v>
      </c>
      <c r="G428" s="54" t="s">
        <v>142</v>
      </c>
      <c r="H428" s="57" t="s">
        <v>137</v>
      </c>
      <c r="I428" s="93" t="s">
        <v>132</v>
      </c>
    </row>
    <row r="429" spans="2:10" x14ac:dyDescent="0.2">
      <c r="B429" s="76">
        <v>10</v>
      </c>
      <c r="C429" s="59" t="s">
        <v>153</v>
      </c>
      <c r="D429" s="59" t="s">
        <v>154</v>
      </c>
      <c r="E429" s="90">
        <v>42.416666666666657</v>
      </c>
      <c r="F429" s="90">
        <v>508.99999999999989</v>
      </c>
      <c r="G429" s="59" t="s">
        <v>155</v>
      </c>
      <c r="H429" s="91" t="s">
        <v>41</v>
      </c>
      <c r="I429" s="91" t="s">
        <v>132</v>
      </c>
    </row>
    <row r="430" spans="2:10" x14ac:dyDescent="0.2">
      <c r="B430" s="73">
        <v>11</v>
      </c>
      <c r="C430" s="54" t="s">
        <v>162</v>
      </c>
      <c r="D430" s="54" t="s">
        <v>163</v>
      </c>
      <c r="E430" s="68">
        <v>31.9</v>
      </c>
      <c r="F430" s="68">
        <v>382.8</v>
      </c>
      <c r="G430" s="54" t="s">
        <v>164</v>
      </c>
      <c r="H430" s="57" t="s">
        <v>146</v>
      </c>
      <c r="I430" s="69" t="s">
        <v>123</v>
      </c>
    </row>
    <row r="431" spans="2:10" x14ac:dyDescent="0.2">
      <c r="B431" s="76">
        <v>12</v>
      </c>
      <c r="C431" s="59" t="s">
        <v>156</v>
      </c>
      <c r="D431" s="59" t="s">
        <v>157</v>
      </c>
      <c r="E431" s="90">
        <v>28.324999999999999</v>
      </c>
      <c r="F431" s="90">
        <v>339.9</v>
      </c>
      <c r="G431" s="59" t="s">
        <v>158</v>
      </c>
      <c r="H431" s="62" t="s">
        <v>146</v>
      </c>
      <c r="I431" s="91" t="s">
        <v>132</v>
      </c>
    </row>
    <row r="432" spans="2:10" x14ac:dyDescent="0.2">
      <c r="B432" s="73">
        <v>13</v>
      </c>
      <c r="C432" s="54" t="s">
        <v>150</v>
      </c>
      <c r="D432" s="54" t="s">
        <v>151</v>
      </c>
      <c r="E432" s="55">
        <v>19.899999999999999</v>
      </c>
      <c r="F432" s="55">
        <v>238.8</v>
      </c>
      <c r="G432" s="54" t="s">
        <v>152</v>
      </c>
      <c r="H432" s="57" t="s">
        <v>146</v>
      </c>
      <c r="I432" s="58" t="s">
        <v>128</v>
      </c>
    </row>
    <row r="433" spans="2:10" x14ac:dyDescent="0.2">
      <c r="B433" s="76">
        <v>14</v>
      </c>
      <c r="C433" s="59" t="s">
        <v>143</v>
      </c>
      <c r="D433" s="59" t="s">
        <v>144</v>
      </c>
      <c r="E433" s="90">
        <v>15.40833333333333</v>
      </c>
      <c r="F433" s="90">
        <v>184.89999999999989</v>
      </c>
      <c r="G433" s="59" t="s">
        <v>145</v>
      </c>
      <c r="H433" s="62" t="s">
        <v>146</v>
      </c>
      <c r="I433" s="91" t="s">
        <v>132</v>
      </c>
    </row>
    <row r="434" spans="2:10" x14ac:dyDescent="0.2">
      <c r="B434" s="73">
        <v>15</v>
      </c>
      <c r="C434" s="54" t="s">
        <v>134</v>
      </c>
      <c r="D434" s="54" t="s">
        <v>135</v>
      </c>
      <c r="E434" s="92">
        <v>0</v>
      </c>
      <c r="F434" s="92">
        <v>0</v>
      </c>
      <c r="G434" s="54" t="s">
        <v>136</v>
      </c>
      <c r="H434" s="57" t="s">
        <v>137</v>
      </c>
      <c r="I434" s="93" t="s">
        <v>132</v>
      </c>
    </row>
    <row r="437" spans="2:10" ht="16" customHeight="1" x14ac:dyDescent="0.2">
      <c r="B437" s="167" t="s">
        <v>355</v>
      </c>
      <c r="C437" s="156"/>
      <c r="D437" s="156"/>
      <c r="E437" s="156"/>
      <c r="F437" s="156"/>
      <c r="G437" s="156"/>
      <c r="H437" s="156"/>
      <c r="I437" s="156"/>
      <c r="J437" s="154"/>
    </row>
    <row r="438" spans="2:10" x14ac:dyDescent="0.2">
      <c r="B438" s="109" t="s">
        <v>328</v>
      </c>
      <c r="C438" s="109" t="s">
        <v>356</v>
      </c>
      <c r="D438" s="109" t="s">
        <v>57</v>
      </c>
      <c r="E438" s="109" t="s">
        <v>357</v>
      </c>
      <c r="F438" s="109" t="s">
        <v>358</v>
      </c>
    </row>
    <row r="439" spans="2:10" x14ac:dyDescent="0.2">
      <c r="B439" s="76">
        <v>1</v>
      </c>
      <c r="C439" s="62" t="s">
        <v>359</v>
      </c>
      <c r="D439" s="67" t="s">
        <v>10</v>
      </c>
      <c r="E439" s="59" t="s">
        <v>360</v>
      </c>
      <c r="F439" s="66">
        <v>20000</v>
      </c>
    </row>
    <row r="440" spans="2:10" x14ac:dyDescent="0.2">
      <c r="B440" s="73">
        <v>2</v>
      </c>
      <c r="C440" s="57" t="s">
        <v>361</v>
      </c>
      <c r="D440" s="69" t="s">
        <v>10</v>
      </c>
      <c r="E440" s="54" t="s">
        <v>362</v>
      </c>
      <c r="F440" s="68">
        <v>6800</v>
      </c>
    </row>
    <row r="441" spans="2:10" x14ac:dyDescent="0.2">
      <c r="B441" s="76">
        <v>3</v>
      </c>
      <c r="C441" s="62" t="s">
        <v>363</v>
      </c>
      <c r="D441" s="67" t="s">
        <v>10</v>
      </c>
      <c r="E441" s="59" t="s">
        <v>364</v>
      </c>
      <c r="F441" s="66">
        <v>6000</v>
      </c>
    </row>
    <row r="442" spans="2:10" x14ac:dyDescent="0.2">
      <c r="B442" s="73">
        <v>4</v>
      </c>
      <c r="C442" s="57" t="s">
        <v>363</v>
      </c>
      <c r="D442" s="69" t="s">
        <v>10</v>
      </c>
      <c r="E442" s="54" t="s">
        <v>365</v>
      </c>
      <c r="F442" s="68">
        <v>4582.41</v>
      </c>
    </row>
    <row r="443" spans="2:10" x14ac:dyDescent="0.2">
      <c r="B443" s="76">
        <v>5</v>
      </c>
      <c r="C443" s="62" t="s">
        <v>366</v>
      </c>
      <c r="D443" s="67" t="s">
        <v>10</v>
      </c>
      <c r="E443" s="59" t="s">
        <v>364</v>
      </c>
      <c r="F443" s="66">
        <v>3000</v>
      </c>
    </row>
    <row r="456" spans="2:10" ht="16" customHeight="1" x14ac:dyDescent="0.2">
      <c r="B456" s="167" t="s">
        <v>367</v>
      </c>
      <c r="C456" s="156"/>
      <c r="D456" s="156"/>
      <c r="E456" s="156"/>
      <c r="F456" s="156"/>
      <c r="G456" s="156"/>
      <c r="H456" s="156"/>
      <c r="I456" s="156"/>
      <c r="J456" s="154"/>
    </row>
    <row r="457" spans="2:10" x14ac:dyDescent="0.2">
      <c r="B457" s="109" t="s">
        <v>328</v>
      </c>
      <c r="C457" s="109" t="s">
        <v>356</v>
      </c>
      <c r="D457" s="109" t="s">
        <v>368</v>
      </c>
      <c r="E457" s="109" t="s">
        <v>369</v>
      </c>
      <c r="F457" s="109" t="s">
        <v>370</v>
      </c>
      <c r="G457" s="109" t="s">
        <v>93</v>
      </c>
      <c r="H457" s="109" t="s">
        <v>23</v>
      </c>
    </row>
    <row r="458" spans="2:10" x14ac:dyDescent="0.2">
      <c r="B458" s="73">
        <v>1</v>
      </c>
      <c r="C458" s="57" t="s">
        <v>371</v>
      </c>
      <c r="D458" s="57" t="s">
        <v>372</v>
      </c>
      <c r="E458" s="54" t="s">
        <v>373</v>
      </c>
      <c r="F458" s="104">
        <v>5999</v>
      </c>
      <c r="G458" s="54" t="s">
        <v>374</v>
      </c>
      <c r="H458" s="58" t="s">
        <v>375</v>
      </c>
    </row>
    <row r="459" spans="2:10" x14ac:dyDescent="0.2">
      <c r="B459" s="76">
        <v>2</v>
      </c>
      <c r="C459" s="62" t="s">
        <v>376</v>
      </c>
      <c r="D459" s="62" t="s">
        <v>372</v>
      </c>
      <c r="E459" s="59" t="s">
        <v>377</v>
      </c>
      <c r="F459" s="103">
        <v>4980.91</v>
      </c>
      <c r="G459" s="59" t="s">
        <v>378</v>
      </c>
      <c r="H459" s="63" t="s">
        <v>375</v>
      </c>
    </row>
    <row r="460" spans="2:10" x14ac:dyDescent="0.2">
      <c r="B460" s="73">
        <v>3</v>
      </c>
      <c r="C460" s="57" t="s">
        <v>379</v>
      </c>
      <c r="D460" s="57" t="s">
        <v>372</v>
      </c>
      <c r="E460" s="54" t="s">
        <v>380</v>
      </c>
      <c r="F460" s="104">
        <v>4952.5200000000004</v>
      </c>
      <c r="G460" s="54" t="s">
        <v>378</v>
      </c>
      <c r="H460" s="69" t="s">
        <v>381</v>
      </c>
    </row>
    <row r="461" spans="2:10" x14ac:dyDescent="0.2">
      <c r="B461" s="76">
        <v>4</v>
      </c>
      <c r="C461" s="62" t="s">
        <v>382</v>
      </c>
      <c r="D461" s="62" t="s">
        <v>372</v>
      </c>
      <c r="E461" s="59" t="s">
        <v>383</v>
      </c>
      <c r="F461" s="103">
        <v>1798</v>
      </c>
      <c r="G461" s="59" t="s">
        <v>374</v>
      </c>
      <c r="H461" s="63" t="s">
        <v>375</v>
      </c>
    </row>
    <row r="462" spans="2:10" x14ac:dyDescent="0.2">
      <c r="B462" s="73">
        <v>5</v>
      </c>
      <c r="C462" s="57" t="s">
        <v>384</v>
      </c>
      <c r="D462" s="57" t="s">
        <v>372</v>
      </c>
      <c r="E462" s="54" t="s">
        <v>385</v>
      </c>
      <c r="F462" s="104">
        <v>1590</v>
      </c>
      <c r="G462" s="54" t="s">
        <v>374</v>
      </c>
      <c r="H462" s="58" t="s">
        <v>375</v>
      </c>
    </row>
    <row r="463" spans="2:10" x14ac:dyDescent="0.2">
      <c r="B463" s="76">
        <v>6</v>
      </c>
      <c r="C463" s="62" t="s">
        <v>386</v>
      </c>
      <c r="D463" s="62" t="s">
        <v>372</v>
      </c>
      <c r="E463" s="59" t="s">
        <v>387</v>
      </c>
      <c r="F463" s="103">
        <v>1200.05</v>
      </c>
      <c r="G463" s="59" t="s">
        <v>388</v>
      </c>
      <c r="H463" s="63" t="s">
        <v>375</v>
      </c>
    </row>
    <row r="464" spans="2:10" x14ac:dyDescent="0.2">
      <c r="B464" s="73">
        <v>7</v>
      </c>
      <c r="C464" s="57" t="s">
        <v>389</v>
      </c>
      <c r="D464" s="57" t="s">
        <v>372</v>
      </c>
      <c r="E464" s="54" t="s">
        <v>390</v>
      </c>
      <c r="F464" s="104">
        <v>1009.78</v>
      </c>
      <c r="G464" s="54" t="s">
        <v>391</v>
      </c>
      <c r="H464" s="58" t="s">
        <v>375</v>
      </c>
    </row>
    <row r="465" spans="2:11" x14ac:dyDescent="0.2">
      <c r="B465" s="76">
        <v>8</v>
      </c>
      <c r="C465" s="62" t="s">
        <v>392</v>
      </c>
      <c r="D465" s="62" t="s">
        <v>372</v>
      </c>
      <c r="E465" s="59" t="s">
        <v>393</v>
      </c>
      <c r="F465" s="103">
        <v>919</v>
      </c>
      <c r="G465" s="59" t="s">
        <v>394</v>
      </c>
      <c r="H465" s="63" t="s">
        <v>375</v>
      </c>
    </row>
    <row r="466" spans="2:11" x14ac:dyDescent="0.2">
      <c r="B466" s="73">
        <v>9</v>
      </c>
      <c r="C466" s="57" t="s">
        <v>395</v>
      </c>
      <c r="D466" s="57" t="s">
        <v>372</v>
      </c>
      <c r="E466" s="54" t="s">
        <v>396</v>
      </c>
      <c r="F466" s="104">
        <v>824.5</v>
      </c>
      <c r="G466" s="54" t="s">
        <v>397</v>
      </c>
      <c r="H466" s="93" t="s">
        <v>398</v>
      </c>
    </row>
    <row r="467" spans="2:11" x14ac:dyDescent="0.2">
      <c r="B467" s="76">
        <v>10</v>
      </c>
      <c r="C467" s="62" t="s">
        <v>399</v>
      </c>
      <c r="D467" s="62" t="s">
        <v>372</v>
      </c>
      <c r="E467" s="59" t="s">
        <v>400</v>
      </c>
      <c r="F467" s="103">
        <v>699.9</v>
      </c>
      <c r="G467" s="59" t="s">
        <v>401</v>
      </c>
      <c r="H467" s="63" t="s">
        <v>375</v>
      </c>
    </row>
    <row r="468" spans="2:11" x14ac:dyDescent="0.2">
      <c r="B468" s="73">
        <v>11</v>
      </c>
      <c r="C468" s="57" t="s">
        <v>389</v>
      </c>
      <c r="D468" s="57" t="s">
        <v>372</v>
      </c>
      <c r="E468" s="54" t="s">
        <v>402</v>
      </c>
      <c r="F468" s="104">
        <v>599.9</v>
      </c>
      <c r="G468" s="54" t="s">
        <v>391</v>
      </c>
      <c r="H468" s="58" t="s">
        <v>375</v>
      </c>
    </row>
    <row r="469" spans="2:11" x14ac:dyDescent="0.2">
      <c r="B469" s="76">
        <v>12</v>
      </c>
      <c r="C469" s="62" t="s">
        <v>403</v>
      </c>
      <c r="D469" s="62" t="s">
        <v>372</v>
      </c>
      <c r="E469" s="59" t="s">
        <v>404</v>
      </c>
      <c r="F469" s="103">
        <v>558.72</v>
      </c>
      <c r="G469" s="59" t="s">
        <v>405</v>
      </c>
      <c r="H469" s="63" t="s">
        <v>375</v>
      </c>
    </row>
    <row r="470" spans="2:11" x14ac:dyDescent="0.2">
      <c r="B470" s="73">
        <v>13</v>
      </c>
      <c r="C470" s="57" t="s">
        <v>406</v>
      </c>
      <c r="D470" s="57" t="s">
        <v>372</v>
      </c>
      <c r="E470" s="54" t="s">
        <v>407</v>
      </c>
      <c r="F470" s="104">
        <v>496.29</v>
      </c>
      <c r="G470" s="54" t="s">
        <v>394</v>
      </c>
      <c r="H470" s="58" t="s">
        <v>375</v>
      </c>
    </row>
    <row r="471" spans="2:11" x14ac:dyDescent="0.2">
      <c r="B471" s="76">
        <v>14</v>
      </c>
      <c r="C471" s="62" t="s">
        <v>408</v>
      </c>
      <c r="D471" s="62" t="s">
        <v>372</v>
      </c>
      <c r="E471" s="59" t="s">
        <v>409</v>
      </c>
      <c r="F471" s="103">
        <v>482.55</v>
      </c>
      <c r="G471" s="59" t="s">
        <v>378</v>
      </c>
      <c r="H471" s="63" t="s">
        <v>375</v>
      </c>
    </row>
    <row r="472" spans="2:11" x14ac:dyDescent="0.2">
      <c r="B472" s="73">
        <v>15</v>
      </c>
      <c r="C472" s="57" t="s">
        <v>410</v>
      </c>
      <c r="D472" s="57" t="s">
        <v>372</v>
      </c>
      <c r="E472" s="54" t="s">
        <v>411</v>
      </c>
      <c r="F472" s="104">
        <v>480</v>
      </c>
      <c r="G472" s="54" t="s">
        <v>378</v>
      </c>
      <c r="H472" s="58" t="s">
        <v>375</v>
      </c>
    </row>
    <row r="475" spans="2:11" ht="16" customHeight="1" x14ac:dyDescent="0.2">
      <c r="B475" s="167" t="s">
        <v>412</v>
      </c>
      <c r="C475" s="156"/>
      <c r="D475" s="156"/>
      <c r="E475" s="156"/>
      <c r="F475" s="156"/>
      <c r="G475" s="156"/>
      <c r="H475" s="156"/>
      <c r="I475" s="156"/>
      <c r="J475" s="156"/>
      <c r="K475" s="154"/>
    </row>
    <row r="476" spans="2:11" x14ac:dyDescent="0.2">
      <c r="B476" s="163" t="s">
        <v>413</v>
      </c>
      <c r="C476" s="152"/>
      <c r="D476" s="152"/>
      <c r="E476" s="152"/>
      <c r="F476" s="152"/>
      <c r="G476" s="152"/>
      <c r="H476" s="152"/>
      <c r="I476" s="152"/>
      <c r="J476" s="152"/>
      <c r="K476" s="152"/>
    </row>
    <row r="478" spans="2:11" x14ac:dyDescent="0.2">
      <c r="B478" s="163" t="s">
        <v>414</v>
      </c>
      <c r="C478" s="152"/>
      <c r="D478" s="152"/>
      <c r="E478" s="152"/>
      <c r="F478" s="152"/>
      <c r="G478" s="152"/>
      <c r="H478" s="152"/>
      <c r="I478" s="152"/>
      <c r="J478" s="152"/>
      <c r="K478" s="152"/>
    </row>
    <row r="479" spans="2:11" x14ac:dyDescent="0.2">
      <c r="B479" s="163" t="s">
        <v>415</v>
      </c>
      <c r="C479" s="152"/>
      <c r="D479" s="152"/>
      <c r="E479" s="152"/>
      <c r="F479" s="152"/>
      <c r="G479" s="152"/>
      <c r="H479" s="152"/>
      <c r="I479" s="152"/>
      <c r="J479" s="152"/>
      <c r="K479" s="152"/>
    </row>
    <row r="480" spans="2:11" x14ac:dyDescent="0.2">
      <c r="B480" s="163" t="s">
        <v>416</v>
      </c>
      <c r="C480" s="152"/>
      <c r="D480" s="152"/>
      <c r="E480" s="152"/>
      <c r="F480" s="152"/>
      <c r="G480" s="152"/>
      <c r="H480" s="152"/>
      <c r="I480" s="152"/>
      <c r="J480" s="152"/>
      <c r="K480" s="152"/>
    </row>
    <row r="483" spans="2:11" ht="16" customHeight="1" x14ac:dyDescent="0.2">
      <c r="B483" s="167" t="s">
        <v>417</v>
      </c>
      <c r="C483" s="156"/>
      <c r="D483" s="156"/>
      <c r="E483" s="156"/>
      <c r="F483" s="156"/>
      <c r="G483" s="156"/>
      <c r="H483" s="156"/>
      <c r="I483" s="156"/>
      <c r="J483" s="156"/>
      <c r="K483" s="154"/>
    </row>
    <row r="484" spans="2:11" x14ac:dyDescent="0.2">
      <c r="B484" s="168" t="s">
        <v>418</v>
      </c>
      <c r="C484" s="152"/>
      <c r="D484" s="152"/>
      <c r="E484" s="152"/>
      <c r="F484" s="152"/>
      <c r="G484" s="152"/>
      <c r="H484" s="152"/>
      <c r="I484" s="152"/>
      <c r="J484" s="152"/>
      <c r="K484" s="152"/>
    </row>
    <row r="486" spans="2:11" ht="16" customHeight="1" x14ac:dyDescent="0.2">
      <c r="B486" s="167" t="s">
        <v>419</v>
      </c>
      <c r="C486" s="156"/>
      <c r="D486" s="156"/>
      <c r="E486" s="156"/>
      <c r="F486" s="156"/>
      <c r="G486" s="156"/>
      <c r="H486" s="156"/>
      <c r="I486" s="156"/>
      <c r="J486" s="154"/>
    </row>
    <row r="487" spans="2:11" x14ac:dyDescent="0.2">
      <c r="B487" s="109" t="s">
        <v>251</v>
      </c>
      <c r="C487" s="109" t="s">
        <v>420</v>
      </c>
      <c r="D487" s="109" t="s">
        <v>421</v>
      </c>
      <c r="E487" s="109" t="s">
        <v>370</v>
      </c>
      <c r="F487" s="109" t="s">
        <v>422</v>
      </c>
    </row>
    <row r="488" spans="2:11" x14ac:dyDescent="0.2">
      <c r="B488" s="54" t="s">
        <v>9</v>
      </c>
      <c r="C488" s="58" t="s">
        <v>226</v>
      </c>
      <c r="D488" s="108" t="s">
        <v>423</v>
      </c>
      <c r="E488" s="82">
        <v>-0.66322792424086707</v>
      </c>
      <c r="F488" s="93" t="s">
        <v>424</v>
      </c>
      <c r="G488" s="54" t="s">
        <v>425</v>
      </c>
    </row>
    <row r="490" spans="2:11" x14ac:dyDescent="0.2">
      <c r="B490" s="54" t="s">
        <v>10</v>
      </c>
      <c r="C490" s="58" t="s">
        <v>226</v>
      </c>
      <c r="D490" s="108" t="s">
        <v>426</v>
      </c>
      <c r="E490" s="82">
        <v>-0.97967823878069438</v>
      </c>
      <c r="F490" s="93" t="s">
        <v>424</v>
      </c>
      <c r="G490" s="54" t="s">
        <v>427</v>
      </c>
    </row>
    <row r="493" spans="2:11" x14ac:dyDescent="0.2">
      <c r="B493" s="59" t="s">
        <v>11</v>
      </c>
      <c r="C493" s="63" t="s">
        <v>226</v>
      </c>
      <c r="D493" s="107" t="s">
        <v>428</v>
      </c>
      <c r="E493" s="81">
        <v>0</v>
      </c>
      <c r="F493" s="91" t="s">
        <v>424</v>
      </c>
      <c r="G493" s="59" t="s">
        <v>429</v>
      </c>
    </row>
    <row r="497" spans="2:11" ht="16" customHeight="1" x14ac:dyDescent="0.2">
      <c r="B497" s="167" t="s">
        <v>430</v>
      </c>
      <c r="C497" s="156"/>
      <c r="D497" s="156"/>
      <c r="E497" s="156"/>
      <c r="F497" s="156"/>
      <c r="G497" s="156"/>
      <c r="H497" s="156"/>
      <c r="I497" s="156"/>
      <c r="J497" s="154"/>
    </row>
    <row r="498" spans="2:11" x14ac:dyDescent="0.2">
      <c r="B498" s="109" t="s">
        <v>431</v>
      </c>
      <c r="C498" s="109" t="s">
        <v>432</v>
      </c>
      <c r="D498" s="109" t="s">
        <v>433</v>
      </c>
      <c r="E498" s="109" t="s">
        <v>434</v>
      </c>
      <c r="F498" s="109" t="s">
        <v>435</v>
      </c>
      <c r="G498" s="109" t="s">
        <v>203</v>
      </c>
    </row>
    <row r="499" spans="2:11" x14ac:dyDescent="0.2">
      <c r="B499" s="54" t="s">
        <v>436</v>
      </c>
      <c r="C499" s="68">
        <v>23196.9</v>
      </c>
      <c r="D499" s="56">
        <v>30000</v>
      </c>
      <c r="E499" s="79">
        <v>-0.22676999999999989</v>
      </c>
      <c r="F499" s="69" t="s">
        <v>437</v>
      </c>
      <c r="G499" s="54" t="s">
        <v>438</v>
      </c>
    </row>
    <row r="500" spans="2:11" x14ac:dyDescent="0.2">
      <c r="B500" s="59" t="s">
        <v>439</v>
      </c>
      <c r="C500" s="60">
        <v>-4389.6000000000004</v>
      </c>
      <c r="D500" s="61">
        <v>-4389</v>
      </c>
      <c r="E500" s="81">
        <v>1.367053998633775E-4</v>
      </c>
      <c r="F500" s="63" t="s">
        <v>440</v>
      </c>
      <c r="G500" s="59" t="s">
        <v>441</v>
      </c>
    </row>
    <row r="501" spans="2:11" x14ac:dyDescent="0.2">
      <c r="B501" s="54" t="s">
        <v>442</v>
      </c>
      <c r="C501" s="68">
        <v>6207.63</v>
      </c>
      <c r="D501" s="56">
        <v>5000</v>
      </c>
      <c r="E501" s="79">
        <v>0.24152599999999999</v>
      </c>
      <c r="F501" s="69" t="s">
        <v>437</v>
      </c>
      <c r="G501" s="54" t="s">
        <v>441</v>
      </c>
    </row>
    <row r="502" spans="2:11" x14ac:dyDescent="0.2">
      <c r="B502" s="59" t="s">
        <v>443</v>
      </c>
      <c r="C502" s="66">
        <v>1247</v>
      </c>
      <c r="D502" s="61">
        <v>1000</v>
      </c>
      <c r="E502" s="80">
        <v>0.247</v>
      </c>
      <c r="F502" s="67" t="s">
        <v>437</v>
      </c>
      <c r="G502" s="59" t="s">
        <v>441</v>
      </c>
    </row>
    <row r="508" spans="2:11" ht="16" customHeight="1" x14ac:dyDescent="0.2">
      <c r="B508" s="167" t="s">
        <v>444</v>
      </c>
      <c r="C508" s="156"/>
      <c r="D508" s="156"/>
      <c r="E508" s="156"/>
      <c r="F508" s="156"/>
      <c r="G508" s="156"/>
      <c r="H508" s="156"/>
      <c r="I508" s="156"/>
      <c r="J508" s="156"/>
      <c r="K508" s="154"/>
    </row>
    <row r="509" spans="2:11" x14ac:dyDescent="0.2">
      <c r="B509" s="168" t="s">
        <v>445</v>
      </c>
      <c r="C509" s="152"/>
      <c r="D509" s="152"/>
      <c r="E509" s="152"/>
      <c r="F509" s="152"/>
      <c r="G509" s="152"/>
      <c r="H509" s="152"/>
      <c r="I509" s="152"/>
      <c r="J509" s="152"/>
      <c r="K509" s="152"/>
    </row>
    <row r="511" spans="2:11" ht="16" customHeight="1" x14ac:dyDescent="0.2">
      <c r="B511" s="167" t="s">
        <v>446</v>
      </c>
      <c r="C511" s="156"/>
      <c r="D511" s="156"/>
      <c r="E511" s="156"/>
      <c r="F511" s="156"/>
      <c r="G511" s="156"/>
      <c r="H511" s="156"/>
      <c r="I511" s="156"/>
      <c r="J511" s="154"/>
    </row>
    <row r="521" spans="2:10" ht="16" customHeight="1" x14ac:dyDescent="0.2">
      <c r="B521" s="167" t="s">
        <v>447</v>
      </c>
      <c r="C521" s="156"/>
      <c r="D521" s="156"/>
      <c r="E521" s="156"/>
      <c r="F521" s="156"/>
      <c r="G521" s="156"/>
      <c r="H521" s="156"/>
      <c r="I521" s="156"/>
      <c r="J521" s="154"/>
    </row>
    <row r="522" spans="2:10" x14ac:dyDescent="0.2">
      <c r="B522" s="109" t="s">
        <v>93</v>
      </c>
      <c r="C522" s="109" t="s">
        <v>448</v>
      </c>
      <c r="D522" s="109" t="s">
        <v>449</v>
      </c>
      <c r="E522" s="109" t="s">
        <v>287</v>
      </c>
      <c r="F522" s="109" t="s">
        <v>288</v>
      </c>
      <c r="G522" s="109" t="s">
        <v>289</v>
      </c>
      <c r="H522" s="109" t="s">
        <v>330</v>
      </c>
      <c r="I522" s="109" t="s">
        <v>450</v>
      </c>
    </row>
    <row r="523" spans="2:10" x14ac:dyDescent="0.2">
      <c r="B523" s="54" t="s">
        <v>98</v>
      </c>
      <c r="C523" s="119">
        <v>1</v>
      </c>
      <c r="D523" s="119">
        <v>2</v>
      </c>
      <c r="E523" s="126">
        <v>9036.83</v>
      </c>
      <c r="F523" s="73">
        <v>1</v>
      </c>
      <c r="G523" s="127">
        <v>9036.83</v>
      </c>
      <c r="H523" s="111">
        <v>0.242627080236784</v>
      </c>
      <c r="I523" s="121">
        <v>0</v>
      </c>
    </row>
    <row r="524" spans="2:10" x14ac:dyDescent="0.2">
      <c r="B524" s="59" t="s">
        <v>100</v>
      </c>
      <c r="C524" s="122">
        <v>2</v>
      </c>
      <c r="D524" s="122">
        <v>2</v>
      </c>
      <c r="E524" s="128">
        <v>8744.6799999999985</v>
      </c>
      <c r="F524" s="76">
        <v>9</v>
      </c>
      <c r="G524" s="129">
        <v>971.63111111111095</v>
      </c>
      <c r="H524" s="112">
        <v>0.23478323438694759</v>
      </c>
      <c r="I524" s="125">
        <v>0</v>
      </c>
    </row>
    <row r="525" spans="2:10" x14ac:dyDescent="0.2">
      <c r="B525" s="54" t="s">
        <v>101</v>
      </c>
      <c r="C525" s="119">
        <v>3</v>
      </c>
      <c r="D525" s="119">
        <v>2</v>
      </c>
      <c r="E525" s="120">
        <v>6624.3600000000006</v>
      </c>
      <c r="F525" s="73">
        <v>37</v>
      </c>
      <c r="G525" s="127">
        <v>179.0367567567568</v>
      </c>
      <c r="H525" s="85">
        <v>0.17785541226706081</v>
      </c>
      <c r="I525" s="121">
        <v>0</v>
      </c>
    </row>
    <row r="526" spans="2:10" x14ac:dyDescent="0.2">
      <c r="B526" s="59" t="s">
        <v>103</v>
      </c>
      <c r="C526" s="122">
        <v>1</v>
      </c>
      <c r="D526" s="122">
        <v>1</v>
      </c>
      <c r="E526" s="123">
        <v>6455.1</v>
      </c>
      <c r="F526" s="76">
        <v>39</v>
      </c>
      <c r="G526" s="129">
        <v>165.51538461538459</v>
      </c>
      <c r="H526" s="86">
        <v>0.17331100237986821</v>
      </c>
      <c r="I526" s="125">
        <v>6455.1</v>
      </c>
    </row>
    <row r="527" spans="2:10" x14ac:dyDescent="0.2">
      <c r="B527" s="54" t="s">
        <v>104</v>
      </c>
      <c r="C527" s="119">
        <v>2</v>
      </c>
      <c r="D527" s="119">
        <v>1</v>
      </c>
      <c r="E527" s="126">
        <v>2235.58</v>
      </c>
      <c r="F527" s="73">
        <v>9</v>
      </c>
      <c r="G527" s="127">
        <v>248.3977777777778</v>
      </c>
      <c r="H527" s="111">
        <v>6.0022402549981521E-2</v>
      </c>
      <c r="I527" s="121">
        <v>0</v>
      </c>
    </row>
    <row r="528" spans="2:10" x14ac:dyDescent="0.2">
      <c r="B528" s="59" t="s">
        <v>106</v>
      </c>
      <c r="C528" s="122">
        <v>3</v>
      </c>
      <c r="D528" s="122">
        <v>1</v>
      </c>
      <c r="E528" s="128">
        <v>1413.12</v>
      </c>
      <c r="F528" s="76">
        <v>6</v>
      </c>
      <c r="G528" s="129">
        <v>235.52</v>
      </c>
      <c r="H528" s="112">
        <v>3.7940425970633983E-2</v>
      </c>
      <c r="I528" s="125">
        <v>0</v>
      </c>
    </row>
    <row r="529" spans="2:11" x14ac:dyDescent="0.2">
      <c r="B529" s="54" t="s">
        <v>108</v>
      </c>
      <c r="C529" s="119">
        <v>1.5</v>
      </c>
      <c r="D529" s="119">
        <v>2.5</v>
      </c>
      <c r="E529" s="126">
        <v>1227.5</v>
      </c>
      <c r="F529" s="73">
        <v>19</v>
      </c>
      <c r="G529" s="127">
        <v>64.60526315789474</v>
      </c>
      <c r="H529" s="111">
        <v>3.295677145532807E-2</v>
      </c>
      <c r="I529" s="121">
        <v>0</v>
      </c>
    </row>
    <row r="530" spans="2:11" x14ac:dyDescent="0.2">
      <c r="B530" s="59" t="s">
        <v>109</v>
      </c>
      <c r="C530" s="122">
        <v>2.5</v>
      </c>
      <c r="D530" s="122">
        <v>2.5</v>
      </c>
      <c r="E530" s="128">
        <v>1217.92</v>
      </c>
      <c r="F530" s="76">
        <v>14</v>
      </c>
      <c r="G530" s="129">
        <v>86.994285714285724</v>
      </c>
      <c r="H530" s="112">
        <v>3.2699560970161433E-2</v>
      </c>
      <c r="I530" s="125">
        <v>0</v>
      </c>
    </row>
    <row r="531" spans="2:11" x14ac:dyDescent="0.2">
      <c r="B531" s="54" t="s">
        <v>110</v>
      </c>
      <c r="C531" s="119">
        <v>1</v>
      </c>
      <c r="D531" s="119">
        <v>3</v>
      </c>
      <c r="E531" s="126">
        <v>205.34</v>
      </c>
      <c r="F531" s="73">
        <v>10</v>
      </c>
      <c r="G531" s="127">
        <v>20.533999999999999</v>
      </c>
      <c r="H531" s="111">
        <v>5.5131107540831491E-3</v>
      </c>
      <c r="I531" s="121">
        <v>0</v>
      </c>
    </row>
    <row r="532" spans="2:11" x14ac:dyDescent="0.2">
      <c r="B532" s="59" t="s">
        <v>111</v>
      </c>
      <c r="C532" s="122">
        <v>2</v>
      </c>
      <c r="D532" s="122">
        <v>3</v>
      </c>
      <c r="E532" s="128">
        <v>74.430000000000007</v>
      </c>
      <c r="F532" s="76">
        <v>1</v>
      </c>
      <c r="G532" s="129">
        <v>74.430000000000007</v>
      </c>
      <c r="H532" s="112">
        <v>1.998348268366654E-3</v>
      </c>
      <c r="I532" s="125">
        <v>0</v>
      </c>
    </row>
    <row r="533" spans="2:11" x14ac:dyDescent="0.2">
      <c r="B533" s="54" t="s">
        <v>60</v>
      </c>
      <c r="C533" s="119">
        <v>3</v>
      </c>
      <c r="D533" s="119">
        <v>3</v>
      </c>
      <c r="E533" s="126">
        <v>10.9</v>
      </c>
      <c r="F533" s="73">
        <v>1</v>
      </c>
      <c r="G533" s="127">
        <v>10.9</v>
      </c>
      <c r="H533" s="111">
        <v>2.9265076078458332E-4</v>
      </c>
      <c r="I533" s="121">
        <v>0</v>
      </c>
    </row>
    <row r="536" spans="2:11" ht="16" customHeight="1" x14ac:dyDescent="0.2">
      <c r="B536" s="167" t="s">
        <v>451</v>
      </c>
      <c r="C536" s="156"/>
      <c r="D536" s="156"/>
      <c r="E536" s="156"/>
      <c r="F536" s="156"/>
      <c r="G536" s="156"/>
      <c r="H536" s="156"/>
      <c r="I536" s="156"/>
      <c r="J536" s="156"/>
      <c r="K536" s="154"/>
    </row>
    <row r="537" spans="2:11" x14ac:dyDescent="0.2">
      <c r="B537" s="168" t="s">
        <v>452</v>
      </c>
      <c r="C537" s="152"/>
      <c r="D537" s="152"/>
      <c r="E537" s="152"/>
      <c r="F537" s="152"/>
      <c r="G537" s="152"/>
      <c r="H537" s="152"/>
      <c r="I537" s="152"/>
      <c r="J537" s="152"/>
      <c r="K537" s="152"/>
    </row>
    <row r="539" spans="2:11" ht="16" customHeight="1" x14ac:dyDescent="0.2">
      <c r="B539" s="167" t="s">
        <v>453</v>
      </c>
      <c r="C539" s="156"/>
      <c r="D539" s="156"/>
      <c r="E539" s="156"/>
      <c r="F539" s="156"/>
      <c r="G539" s="156"/>
      <c r="H539" s="156"/>
      <c r="I539" s="156"/>
      <c r="J539" s="154"/>
    </row>
    <row r="549" spans="2:10" ht="16" customHeight="1" x14ac:dyDescent="0.2">
      <c r="B549" s="167" t="s">
        <v>454</v>
      </c>
      <c r="C549" s="156"/>
      <c r="D549" s="156"/>
      <c r="E549" s="156"/>
      <c r="F549" s="156"/>
      <c r="G549" s="156"/>
      <c r="H549" s="156"/>
      <c r="I549" s="156"/>
      <c r="J549" s="154"/>
    </row>
    <row r="550" spans="2:10" x14ac:dyDescent="0.2">
      <c r="B550" s="109" t="s">
        <v>328</v>
      </c>
      <c r="C550" s="109" t="s">
        <v>93</v>
      </c>
      <c r="D550" s="109" t="s">
        <v>86</v>
      </c>
      <c r="E550" s="109" t="s">
        <v>455</v>
      </c>
      <c r="F550" s="109" t="s">
        <v>456</v>
      </c>
    </row>
    <row r="551" spans="2:10" x14ac:dyDescent="0.2">
      <c r="B551" s="73">
        <v>1</v>
      </c>
      <c r="C551" s="100" t="s">
        <v>98</v>
      </c>
      <c r="D551" s="126">
        <v>9036.83</v>
      </c>
      <c r="E551" s="100" t="s">
        <v>457</v>
      </c>
      <c r="F551" s="72" t="str">
        <f>INDEX($C$551:$C$561,1)</f>
        <v>Viagem</v>
      </c>
    </row>
    <row r="552" spans="2:10" x14ac:dyDescent="0.2">
      <c r="B552" s="76">
        <v>2</v>
      </c>
      <c r="C552" s="102" t="s">
        <v>100</v>
      </c>
      <c r="D552" s="128">
        <v>8744.6799999999985</v>
      </c>
      <c r="E552" s="102" t="s">
        <v>457</v>
      </c>
      <c r="F552" s="113" t="str">
        <f>INDEX($C$551:$C$561,2)</f>
        <v>Compras/ML</v>
      </c>
    </row>
    <row r="553" spans="2:10" x14ac:dyDescent="0.2">
      <c r="B553" s="73">
        <v>3</v>
      </c>
      <c r="C553" s="75" t="s">
        <v>101</v>
      </c>
      <c r="D553" s="120">
        <v>6624.3600000000006</v>
      </c>
      <c r="E553" s="75" t="s">
        <v>102</v>
      </c>
      <c r="F553" s="72" t="str">
        <f>INDEX($C$551:$C$561,3)</f>
        <v>IA/Tecnologia</v>
      </c>
    </row>
    <row r="554" spans="2:10" x14ac:dyDescent="0.2">
      <c r="B554" s="76">
        <v>4</v>
      </c>
      <c r="C554" s="87" t="s">
        <v>103</v>
      </c>
      <c r="D554" s="123">
        <v>6455.1</v>
      </c>
      <c r="E554" s="87" t="s">
        <v>102</v>
      </c>
      <c r="F554" s="113" t="str">
        <f>INDEX($C$551:$C$561,4)</f>
        <v>Loteria</v>
      </c>
    </row>
    <row r="555" spans="2:10" x14ac:dyDescent="0.2">
      <c r="B555" s="73">
        <v>5</v>
      </c>
      <c r="C555" s="100" t="s">
        <v>104</v>
      </c>
      <c r="D555" s="126">
        <v>2235.58</v>
      </c>
      <c r="E555" s="100" t="s">
        <v>458</v>
      </c>
      <c r="F555" s="72" t="str">
        <f>INDEX($C$551:$C$561,5)</f>
        <v>Outros</v>
      </c>
    </row>
    <row r="556" spans="2:10" x14ac:dyDescent="0.2">
      <c r="B556" s="76">
        <v>6</v>
      </c>
      <c r="C556" s="89" t="s">
        <v>106</v>
      </c>
      <c r="D556" s="124">
        <v>1413.12</v>
      </c>
      <c r="E556" s="89" t="s">
        <v>459</v>
      </c>
      <c r="F556" s="113" t="str">
        <f>INDEX($C$551:$C$561,6)</f>
        <v>Internet</v>
      </c>
    </row>
    <row r="557" spans="2:10" x14ac:dyDescent="0.2">
      <c r="B557" s="73">
        <v>7</v>
      </c>
      <c r="C557" s="100" t="s">
        <v>108</v>
      </c>
      <c r="D557" s="126">
        <v>1227.5</v>
      </c>
      <c r="E557" s="100" t="s">
        <v>457</v>
      </c>
      <c r="F557" s="72" t="str">
        <f>INDEX($C$551:$C$561,7)</f>
        <v>Assinatura</v>
      </c>
    </row>
    <row r="558" spans="2:10" x14ac:dyDescent="0.2">
      <c r="B558" s="76">
        <v>8</v>
      </c>
      <c r="C558" s="89" t="s">
        <v>109</v>
      </c>
      <c r="D558" s="124">
        <v>1217.92</v>
      </c>
      <c r="E558" s="89" t="s">
        <v>459</v>
      </c>
      <c r="F558" s="113" t="str">
        <f>INDEX($C$551:$C$561,8)</f>
        <v>Delivery/iFood</v>
      </c>
    </row>
    <row r="559" spans="2:10" x14ac:dyDescent="0.2">
      <c r="B559" s="73">
        <v>9</v>
      </c>
      <c r="C559" s="100" t="s">
        <v>110</v>
      </c>
      <c r="D559" s="126">
        <v>205.34</v>
      </c>
      <c r="E559" s="100" t="s">
        <v>457</v>
      </c>
      <c r="F559" s="72" t="str">
        <f>INDEX($C$551:$C$561,9)</f>
        <v>Transporte</v>
      </c>
    </row>
    <row r="560" spans="2:10" x14ac:dyDescent="0.2">
      <c r="B560" s="76">
        <v>10</v>
      </c>
      <c r="C560" s="89" t="s">
        <v>111</v>
      </c>
      <c r="D560" s="124">
        <v>74.430000000000007</v>
      </c>
      <c r="E560" s="89" t="s">
        <v>459</v>
      </c>
      <c r="F560" s="113" t="str">
        <f>INDEX($C$551:$C$561,10)</f>
        <v>Telecomunicações</v>
      </c>
    </row>
    <row r="561" spans="2:11" x14ac:dyDescent="0.2">
      <c r="B561" s="73">
        <v>11</v>
      </c>
      <c r="C561" s="100" t="s">
        <v>60</v>
      </c>
      <c r="D561" s="126">
        <v>10.9</v>
      </c>
      <c r="E561" s="100" t="s">
        <v>457</v>
      </c>
      <c r="F561" s="72" t="str">
        <f>INDEX($C$551:$C$561,11)</f>
        <v>Digital</v>
      </c>
    </row>
    <row r="564" spans="2:11" ht="16" customHeight="1" x14ac:dyDescent="0.2">
      <c r="B564" s="167" t="s">
        <v>460</v>
      </c>
      <c r="C564" s="156"/>
      <c r="D564" s="156"/>
      <c r="E564" s="156"/>
      <c r="F564" s="156"/>
      <c r="G564" s="156"/>
      <c r="H564" s="156"/>
      <c r="I564" s="156"/>
      <c r="J564" s="156"/>
      <c r="K564" s="154"/>
    </row>
    <row r="565" spans="2:11" x14ac:dyDescent="0.2">
      <c r="B565" s="168" t="s">
        <v>461</v>
      </c>
      <c r="C565" s="152"/>
      <c r="D565" s="152"/>
      <c r="E565" s="152"/>
      <c r="F565" s="152"/>
      <c r="G565" s="152"/>
      <c r="H565" s="152"/>
      <c r="I565" s="152"/>
      <c r="J565" s="152"/>
      <c r="K565" s="152"/>
    </row>
    <row r="567" spans="2:11" ht="16" customHeight="1" x14ac:dyDescent="0.2">
      <c r="B567" s="167" t="s">
        <v>462</v>
      </c>
      <c r="C567" s="156"/>
      <c r="D567" s="156"/>
      <c r="E567" s="156"/>
      <c r="F567" s="156"/>
      <c r="G567" s="156"/>
      <c r="H567" s="156"/>
      <c r="I567" s="156"/>
      <c r="J567" s="154"/>
    </row>
    <row r="568" spans="2:11" x14ac:dyDescent="0.2">
      <c r="B568" s="109" t="s">
        <v>113</v>
      </c>
      <c r="C568" s="109" t="s">
        <v>117</v>
      </c>
      <c r="D568" s="109" t="s">
        <v>463</v>
      </c>
      <c r="E568" s="109" t="s">
        <v>464</v>
      </c>
      <c r="F568" s="109" t="s">
        <v>465</v>
      </c>
      <c r="G568" s="109" t="s">
        <v>466</v>
      </c>
      <c r="H568" s="109" t="s">
        <v>467</v>
      </c>
      <c r="I568" s="109" t="s">
        <v>468</v>
      </c>
      <c r="J568" s="109" t="s">
        <v>469</v>
      </c>
    </row>
    <row r="569" spans="2:11" x14ac:dyDescent="0.2">
      <c r="B569" s="54" t="s">
        <v>120</v>
      </c>
      <c r="C569" s="69" t="s">
        <v>123</v>
      </c>
      <c r="D569" s="114">
        <v>1</v>
      </c>
      <c r="E569" s="114">
        <v>1</v>
      </c>
      <c r="F569" s="114">
        <v>1</v>
      </c>
      <c r="G569" s="114">
        <v>1</v>
      </c>
      <c r="H569" s="114">
        <v>1</v>
      </c>
      <c r="I569" s="114">
        <v>1</v>
      </c>
      <c r="J569" s="68">
        <v>92</v>
      </c>
    </row>
    <row r="570" spans="2:11" x14ac:dyDescent="0.2">
      <c r="B570" s="59" t="s">
        <v>120</v>
      </c>
      <c r="C570" s="67" t="s">
        <v>123</v>
      </c>
      <c r="D570" s="130">
        <v>1</v>
      </c>
      <c r="E570" s="130">
        <v>1</v>
      </c>
      <c r="F570" s="130">
        <v>1</v>
      </c>
      <c r="G570" s="130">
        <v>1</v>
      </c>
      <c r="H570" s="130">
        <v>1</v>
      </c>
      <c r="I570" s="130">
        <v>1</v>
      </c>
      <c r="J570" s="66">
        <v>92</v>
      </c>
    </row>
    <row r="571" spans="2:11" x14ac:dyDescent="0.2">
      <c r="B571" s="54" t="s">
        <v>125</v>
      </c>
      <c r="C571" s="58" t="s">
        <v>128</v>
      </c>
      <c r="D571" s="131">
        <v>1</v>
      </c>
      <c r="E571" s="131">
        <v>1</v>
      </c>
      <c r="F571" s="131">
        <v>1</v>
      </c>
      <c r="G571" s="131">
        <v>1</v>
      </c>
      <c r="H571" s="131">
        <v>1</v>
      </c>
      <c r="I571" s="131">
        <v>1</v>
      </c>
      <c r="J571" s="55">
        <v>106</v>
      </c>
    </row>
    <row r="572" spans="2:11" x14ac:dyDescent="0.2">
      <c r="B572" s="59" t="s">
        <v>130</v>
      </c>
      <c r="C572" s="91" t="s">
        <v>132</v>
      </c>
      <c r="D572" s="132">
        <v>1</v>
      </c>
      <c r="E572" s="132">
        <v>1</v>
      </c>
      <c r="F572" s="132">
        <v>1</v>
      </c>
      <c r="G572" s="132">
        <v>1</v>
      </c>
      <c r="H572" s="132">
        <v>1</v>
      </c>
      <c r="I572" s="132">
        <v>1</v>
      </c>
      <c r="J572" s="90">
        <v>96.99</v>
      </c>
    </row>
    <row r="573" spans="2:11" x14ac:dyDescent="0.2">
      <c r="B573" s="54" t="s">
        <v>134</v>
      </c>
      <c r="C573" s="93" t="s">
        <v>132</v>
      </c>
      <c r="D573" s="116">
        <v>0</v>
      </c>
      <c r="E573" s="116">
        <v>0</v>
      </c>
      <c r="F573" s="116">
        <v>0</v>
      </c>
      <c r="G573" s="116">
        <v>0</v>
      </c>
      <c r="H573" s="116">
        <v>0</v>
      </c>
      <c r="I573" s="116">
        <v>0</v>
      </c>
      <c r="J573" s="92">
        <v>0</v>
      </c>
    </row>
    <row r="574" spans="2:11" x14ac:dyDescent="0.2">
      <c r="B574" s="59" t="s">
        <v>134</v>
      </c>
      <c r="C574" s="91" t="s">
        <v>132</v>
      </c>
      <c r="D574" s="132">
        <v>1</v>
      </c>
      <c r="E574" s="132">
        <v>1</v>
      </c>
      <c r="F574" s="132">
        <v>1</v>
      </c>
      <c r="G574" s="132">
        <v>1</v>
      </c>
      <c r="H574" s="132">
        <v>1</v>
      </c>
      <c r="I574" s="132">
        <v>1</v>
      </c>
      <c r="J574" s="90">
        <v>418.43</v>
      </c>
    </row>
    <row r="575" spans="2:11" x14ac:dyDescent="0.2">
      <c r="B575" s="54" t="s">
        <v>138</v>
      </c>
      <c r="C575" s="58" t="s">
        <v>128</v>
      </c>
      <c r="D575" s="131">
        <v>1</v>
      </c>
      <c r="E575" s="131">
        <v>1</v>
      </c>
      <c r="F575" s="131">
        <v>1</v>
      </c>
      <c r="G575" s="131">
        <v>1</v>
      </c>
      <c r="H575" s="131">
        <v>1</v>
      </c>
      <c r="I575" s="131">
        <v>1</v>
      </c>
      <c r="J575" s="55">
        <v>106</v>
      </c>
    </row>
    <row r="576" spans="2:11" x14ac:dyDescent="0.2">
      <c r="B576" s="59" t="s">
        <v>140</v>
      </c>
      <c r="C576" s="91" t="s">
        <v>132</v>
      </c>
      <c r="D576" s="132">
        <v>1</v>
      </c>
      <c r="E576" s="132">
        <v>1</v>
      </c>
      <c r="F576" s="132">
        <v>1</v>
      </c>
      <c r="G576" s="132">
        <v>1</v>
      </c>
      <c r="H576" s="132">
        <v>1</v>
      </c>
      <c r="I576" s="132">
        <v>1</v>
      </c>
      <c r="J576" s="90">
        <v>45.37</v>
      </c>
    </row>
    <row r="577" spans="2:11" x14ac:dyDescent="0.2">
      <c r="B577" s="54" t="s">
        <v>143</v>
      </c>
      <c r="C577" s="93" t="s">
        <v>132</v>
      </c>
      <c r="D577" s="116">
        <v>1</v>
      </c>
      <c r="E577" s="116">
        <v>1</v>
      </c>
      <c r="F577" s="116">
        <v>1</v>
      </c>
      <c r="G577" s="116">
        <v>1</v>
      </c>
      <c r="H577" s="116">
        <v>1</v>
      </c>
      <c r="I577" s="116">
        <v>1</v>
      </c>
      <c r="J577" s="92">
        <v>15.40833333333333</v>
      </c>
    </row>
    <row r="578" spans="2:11" x14ac:dyDescent="0.2">
      <c r="B578" s="59" t="s">
        <v>147</v>
      </c>
      <c r="C578" s="67" t="s">
        <v>123</v>
      </c>
      <c r="D578" s="130">
        <v>1</v>
      </c>
      <c r="E578" s="130">
        <v>1</v>
      </c>
      <c r="F578" s="130">
        <v>1</v>
      </c>
      <c r="G578" s="130">
        <v>1</v>
      </c>
      <c r="H578" s="130">
        <v>1</v>
      </c>
      <c r="I578" s="130">
        <v>1</v>
      </c>
      <c r="J578" s="66">
        <v>149.9</v>
      </c>
    </row>
    <row r="579" spans="2:11" x14ac:dyDescent="0.2">
      <c r="B579" s="54" t="s">
        <v>150</v>
      </c>
      <c r="C579" s="58" t="s">
        <v>128</v>
      </c>
      <c r="D579" s="131">
        <v>1</v>
      </c>
      <c r="E579" s="131">
        <v>1</v>
      </c>
      <c r="F579" s="131">
        <v>1</v>
      </c>
      <c r="G579" s="131">
        <v>1</v>
      </c>
      <c r="H579" s="131">
        <v>1</v>
      </c>
      <c r="I579" s="131">
        <v>1</v>
      </c>
      <c r="J579" s="55">
        <v>19.899999999999999</v>
      </c>
    </row>
    <row r="580" spans="2:11" x14ac:dyDescent="0.2">
      <c r="B580" s="59" t="s">
        <v>153</v>
      </c>
      <c r="C580" s="91" t="s">
        <v>132</v>
      </c>
      <c r="D580" s="132">
        <v>1</v>
      </c>
      <c r="E580" s="132">
        <v>1</v>
      </c>
      <c r="F580" s="132">
        <v>1</v>
      </c>
      <c r="G580" s="132">
        <v>1</v>
      </c>
      <c r="H580" s="132">
        <v>1</v>
      </c>
      <c r="I580" s="132">
        <v>1</v>
      </c>
      <c r="J580" s="90">
        <v>42.416666666666657</v>
      </c>
    </row>
    <row r="581" spans="2:11" x14ac:dyDescent="0.2">
      <c r="B581" s="54" t="s">
        <v>156</v>
      </c>
      <c r="C581" s="93" t="s">
        <v>132</v>
      </c>
      <c r="D581" s="116">
        <v>1</v>
      </c>
      <c r="E581" s="116">
        <v>1</v>
      </c>
      <c r="F581" s="116">
        <v>1</v>
      </c>
      <c r="G581" s="116">
        <v>1</v>
      </c>
      <c r="H581" s="116">
        <v>1</v>
      </c>
      <c r="I581" s="116">
        <v>1</v>
      </c>
      <c r="J581" s="92">
        <v>28.324999999999999</v>
      </c>
    </row>
    <row r="582" spans="2:11" x14ac:dyDescent="0.2">
      <c r="B582" s="59" t="s">
        <v>159</v>
      </c>
      <c r="C582" s="63" t="s">
        <v>128</v>
      </c>
      <c r="D582" s="115">
        <v>1</v>
      </c>
      <c r="E582" s="115">
        <v>1</v>
      </c>
      <c r="F582" s="115">
        <v>1</v>
      </c>
      <c r="G582" s="115">
        <v>1</v>
      </c>
      <c r="H582" s="115">
        <v>1</v>
      </c>
      <c r="I582" s="115">
        <v>1</v>
      </c>
      <c r="J582" s="60">
        <v>99.9</v>
      </c>
    </row>
    <row r="583" spans="2:11" x14ac:dyDescent="0.2">
      <c r="B583" s="54" t="s">
        <v>162</v>
      </c>
      <c r="C583" s="69" t="s">
        <v>123</v>
      </c>
      <c r="D583" s="114">
        <v>1</v>
      </c>
      <c r="E583" s="114">
        <v>1</v>
      </c>
      <c r="F583" s="114">
        <v>1</v>
      </c>
      <c r="G583" s="114">
        <v>1</v>
      </c>
      <c r="H583" s="114">
        <v>1</v>
      </c>
      <c r="I583" s="114">
        <v>1</v>
      </c>
      <c r="J583" s="68">
        <v>31.9</v>
      </c>
    </row>
    <row r="585" spans="2:11" ht="16" customHeight="1" x14ac:dyDescent="0.2">
      <c r="B585" s="167" t="s">
        <v>470</v>
      </c>
      <c r="C585" s="156"/>
      <c r="D585" s="156"/>
      <c r="E585" s="156"/>
      <c r="F585" s="156"/>
      <c r="G585" s="156"/>
      <c r="H585" s="156"/>
      <c r="I585" s="156"/>
      <c r="J585" s="154"/>
    </row>
    <row r="586" spans="2:11" x14ac:dyDescent="0.2">
      <c r="B586" s="109" t="s">
        <v>251</v>
      </c>
      <c r="C586" s="109" t="s">
        <v>463</v>
      </c>
      <c r="D586" s="109" t="s">
        <v>464</v>
      </c>
      <c r="E586" s="109" t="s">
        <v>465</v>
      </c>
      <c r="F586" s="109" t="s">
        <v>466</v>
      </c>
      <c r="G586" s="109" t="s">
        <v>467</v>
      </c>
      <c r="H586" s="109" t="s">
        <v>468</v>
      </c>
      <c r="I586" s="109" t="s">
        <v>471</v>
      </c>
      <c r="J586" s="109" t="s">
        <v>472</v>
      </c>
    </row>
    <row r="587" spans="2:11" x14ac:dyDescent="0.2">
      <c r="B587" s="54" t="s">
        <v>9</v>
      </c>
      <c r="C587" s="56">
        <v>3745.4</v>
      </c>
      <c r="D587" s="56">
        <v>9515.9</v>
      </c>
      <c r="E587" s="56">
        <v>14231.47</v>
      </c>
      <c r="F587" s="56">
        <v>5330.44</v>
      </c>
      <c r="G587" s="56">
        <v>3308.38</v>
      </c>
      <c r="H587" s="56">
        <v>1114.17</v>
      </c>
      <c r="I587" s="58" t="s">
        <v>90</v>
      </c>
      <c r="J587" s="82">
        <v>-0.66322792424086707</v>
      </c>
    </row>
    <row r="588" spans="2:11" x14ac:dyDescent="0.2">
      <c r="B588" s="59" t="s">
        <v>473</v>
      </c>
      <c r="C588" s="61">
        <v>3745.4</v>
      </c>
      <c r="D588" s="61">
        <v>13261.3</v>
      </c>
      <c r="E588" s="61">
        <v>27492.77</v>
      </c>
      <c r="F588" s="61">
        <v>32823.21</v>
      </c>
      <c r="G588" s="61">
        <v>36131.589999999997</v>
      </c>
      <c r="H588" s="61">
        <v>37245.760000000002</v>
      </c>
      <c r="I588" s="67" t="s">
        <v>91</v>
      </c>
      <c r="J588" s="80">
        <v>3.0836450873044839E-2</v>
      </c>
    </row>
    <row r="589" spans="2:11" x14ac:dyDescent="0.2">
      <c r="B589" s="54" t="s">
        <v>76</v>
      </c>
      <c r="C589" s="56">
        <v>-2462.2266666666669</v>
      </c>
      <c r="D589" s="56">
        <v>3308.2733333333331</v>
      </c>
      <c r="E589" s="56">
        <v>8023.8433333333342</v>
      </c>
      <c r="F589" s="56">
        <v>-877.18666666666741</v>
      </c>
      <c r="G589" s="56">
        <v>-2899.2466666666669</v>
      </c>
      <c r="H589" s="56">
        <v>-5093.4566666666669</v>
      </c>
      <c r="I589" s="69" t="s">
        <v>90</v>
      </c>
      <c r="J589" s="79">
        <v>0.75682073734096433</v>
      </c>
    </row>
    <row r="592" spans="2:11" ht="16" customHeight="1" x14ac:dyDescent="0.2">
      <c r="B592" s="167" t="s">
        <v>474</v>
      </c>
      <c r="C592" s="156"/>
      <c r="D592" s="156"/>
      <c r="E592" s="156"/>
      <c r="F592" s="156"/>
      <c r="G592" s="156"/>
      <c r="H592" s="156"/>
      <c r="I592" s="156"/>
      <c r="J592" s="156"/>
      <c r="K592" s="154"/>
    </row>
    <row r="593" spans="2:11" x14ac:dyDescent="0.2">
      <c r="B593" s="168" t="s">
        <v>475</v>
      </c>
      <c r="C593" s="152"/>
      <c r="D593" s="152"/>
      <c r="E593" s="152"/>
      <c r="F593" s="152"/>
      <c r="G593" s="152"/>
      <c r="H593" s="152"/>
      <c r="I593" s="152"/>
      <c r="J593" s="152"/>
      <c r="K593" s="152"/>
    </row>
    <row r="595" spans="2:11" ht="16" customHeight="1" x14ac:dyDescent="0.2">
      <c r="B595" s="167" t="s">
        <v>476</v>
      </c>
      <c r="C595" s="156"/>
      <c r="D595" s="156"/>
      <c r="E595" s="156"/>
      <c r="F595" s="156"/>
      <c r="G595" s="156"/>
      <c r="H595" s="156"/>
      <c r="I595" s="156"/>
      <c r="J595" s="154"/>
    </row>
    <row r="596" spans="2:11" x14ac:dyDescent="0.2">
      <c r="B596" s="109" t="s">
        <v>477</v>
      </c>
      <c r="C596" s="109" t="s">
        <v>203</v>
      </c>
      <c r="D596" s="109" t="s">
        <v>478</v>
      </c>
      <c r="E596" s="109" t="s">
        <v>479</v>
      </c>
      <c r="F596" s="109" t="s">
        <v>480</v>
      </c>
    </row>
    <row r="598" spans="2:11" x14ac:dyDescent="0.2">
      <c r="B598" s="102" t="s">
        <v>204</v>
      </c>
      <c r="C598" s="91" t="s">
        <v>205</v>
      </c>
      <c r="D598" s="113" t="s">
        <v>481</v>
      </c>
      <c r="E598" s="89" t="s">
        <v>482</v>
      </c>
      <c r="F598" s="59" t="s">
        <v>483</v>
      </c>
    </row>
    <row r="604" spans="2:11" x14ac:dyDescent="0.2">
      <c r="B604" s="87" t="s">
        <v>206</v>
      </c>
      <c r="C604" s="67" t="s">
        <v>207</v>
      </c>
      <c r="D604" s="113" t="s">
        <v>484</v>
      </c>
      <c r="E604" s="89" t="s">
        <v>485</v>
      </c>
      <c r="F604" s="59" t="s">
        <v>486</v>
      </c>
    </row>
    <row r="605" spans="2:11" x14ac:dyDescent="0.2">
      <c r="B605" s="100" t="s">
        <v>487</v>
      </c>
      <c r="C605" s="93" t="s">
        <v>205</v>
      </c>
      <c r="D605" s="72" t="s">
        <v>488</v>
      </c>
      <c r="E605" s="74" t="s">
        <v>489</v>
      </c>
      <c r="F605" s="54" t="s">
        <v>490</v>
      </c>
    </row>
    <row r="607" spans="2:11" x14ac:dyDescent="0.2">
      <c r="B607" s="75" t="s">
        <v>491</v>
      </c>
      <c r="C607" s="69" t="s">
        <v>207</v>
      </c>
      <c r="D607" s="72" t="s">
        <v>492</v>
      </c>
      <c r="E607" s="74" t="s">
        <v>493</v>
      </c>
      <c r="F607" s="54" t="s">
        <v>494</v>
      </c>
    </row>
    <row r="608" spans="2:11" x14ac:dyDescent="0.2">
      <c r="B608" s="89" t="s">
        <v>495</v>
      </c>
      <c r="C608" s="63" t="s">
        <v>214</v>
      </c>
      <c r="D608" s="113" t="s">
        <v>496</v>
      </c>
      <c r="E608" s="89" t="s">
        <v>497</v>
      </c>
      <c r="F608" s="59" t="s">
        <v>498</v>
      </c>
    </row>
    <row r="609" spans="2:10" x14ac:dyDescent="0.2">
      <c r="B609" s="74" t="s">
        <v>499</v>
      </c>
      <c r="C609" s="58" t="s">
        <v>214</v>
      </c>
      <c r="D609" s="72" t="s">
        <v>500</v>
      </c>
      <c r="E609" s="74" t="s">
        <v>501</v>
      </c>
      <c r="F609" s="54" t="s">
        <v>502</v>
      </c>
    </row>
    <row r="614" spans="2:10" ht="16" customHeight="1" x14ac:dyDescent="0.2">
      <c r="B614" s="167" t="s">
        <v>503</v>
      </c>
      <c r="C614" s="156"/>
      <c r="D614" s="156"/>
      <c r="E614" s="156"/>
      <c r="F614" s="156"/>
      <c r="G614" s="156"/>
      <c r="H614" s="156"/>
      <c r="I614" s="156"/>
      <c r="J614" s="154"/>
    </row>
    <row r="615" spans="2:10" x14ac:dyDescent="0.2">
      <c r="B615" s="109" t="s">
        <v>251</v>
      </c>
      <c r="C615" s="109" t="s">
        <v>504</v>
      </c>
      <c r="D615" s="109" t="s">
        <v>505</v>
      </c>
      <c r="E615" s="109" t="s">
        <v>506</v>
      </c>
      <c r="F615" s="109" t="s">
        <v>507</v>
      </c>
    </row>
    <row r="616" spans="2:10" x14ac:dyDescent="0.2">
      <c r="B616" s="54" t="s">
        <v>508</v>
      </c>
      <c r="C616" s="72" t="s">
        <v>509</v>
      </c>
      <c r="D616" s="74" t="s">
        <v>510</v>
      </c>
      <c r="E616" s="54" t="s">
        <v>511</v>
      </c>
      <c r="F616" s="100" t="s">
        <v>512</v>
      </c>
    </row>
    <row r="619" spans="2:10" x14ac:dyDescent="0.2">
      <c r="B619" s="59" t="s">
        <v>513</v>
      </c>
      <c r="C619" s="113" t="s">
        <v>514</v>
      </c>
      <c r="D619" s="89" t="s">
        <v>515</v>
      </c>
      <c r="E619" s="59" t="s">
        <v>516</v>
      </c>
      <c r="F619" s="102" t="s">
        <v>512</v>
      </c>
    </row>
    <row r="623" spans="2:10" ht="16" customHeight="1" x14ac:dyDescent="0.2">
      <c r="B623" s="167" t="s">
        <v>517</v>
      </c>
      <c r="C623" s="156"/>
      <c r="D623" s="156"/>
      <c r="E623" s="156"/>
      <c r="F623" s="156"/>
      <c r="G623" s="156"/>
      <c r="H623" s="156"/>
      <c r="I623" s="156"/>
      <c r="J623" s="154"/>
    </row>
    <row r="624" spans="2:10" x14ac:dyDescent="0.2">
      <c r="B624" s="109" t="s">
        <v>518</v>
      </c>
      <c r="C624" s="109" t="s">
        <v>519</v>
      </c>
      <c r="D624" s="109" t="s">
        <v>507</v>
      </c>
    </row>
    <row r="625" spans="2:4" x14ac:dyDescent="0.2">
      <c r="B625" s="100" t="s">
        <v>520</v>
      </c>
      <c r="C625" s="72" t="s">
        <v>521</v>
      </c>
      <c r="D625" s="54" t="s">
        <v>522</v>
      </c>
    </row>
    <row r="626" spans="2:4" x14ac:dyDescent="0.2">
      <c r="B626" s="102" t="s">
        <v>523</v>
      </c>
      <c r="C626" s="113" t="s">
        <v>524</v>
      </c>
      <c r="D626" s="59" t="s">
        <v>525</v>
      </c>
    </row>
    <row r="628" spans="2:4" x14ac:dyDescent="0.2">
      <c r="B628" s="102" t="s">
        <v>526</v>
      </c>
      <c r="C628" s="113" t="s">
        <v>527</v>
      </c>
      <c r="D628" s="59" t="s">
        <v>528</v>
      </c>
    </row>
    <row r="630" spans="2:4" x14ac:dyDescent="0.2">
      <c r="B630" s="102" t="s">
        <v>529</v>
      </c>
      <c r="C630" s="113" t="s">
        <v>530</v>
      </c>
      <c r="D630" s="59" t="s">
        <v>531</v>
      </c>
    </row>
    <row r="631" spans="2:4" x14ac:dyDescent="0.2">
      <c r="B631" s="100" t="s">
        <v>532</v>
      </c>
      <c r="C631" s="72" t="s">
        <v>533</v>
      </c>
      <c r="D631" s="54" t="s">
        <v>534</v>
      </c>
    </row>
    <row r="632" spans="2:4" x14ac:dyDescent="0.2">
      <c r="B632" s="102" t="s">
        <v>535</v>
      </c>
      <c r="C632" s="113" t="s">
        <v>536</v>
      </c>
      <c r="D632" s="59" t="s">
        <v>537</v>
      </c>
    </row>
    <row r="633" spans="2:4" x14ac:dyDescent="0.2">
      <c r="B633" s="100" t="s">
        <v>538</v>
      </c>
      <c r="C633" s="72" t="s">
        <v>539</v>
      </c>
      <c r="D633" s="54" t="s">
        <v>540</v>
      </c>
    </row>
    <row r="634" spans="2:4" x14ac:dyDescent="0.2">
      <c r="B634" s="102" t="s">
        <v>541</v>
      </c>
      <c r="C634" s="113" t="s">
        <v>542</v>
      </c>
      <c r="D634" s="59" t="s">
        <v>543</v>
      </c>
    </row>
  </sheetData>
  <mergeCells count="116">
    <mergeCell ref="B1:J1"/>
    <mergeCell ref="B241:K241"/>
    <mergeCell ref="B256:K256"/>
    <mergeCell ref="B369:K369"/>
    <mergeCell ref="B191:J191"/>
    <mergeCell ref="B205:J205"/>
    <mergeCell ref="B368:K368"/>
    <mergeCell ref="B211:J211"/>
    <mergeCell ref="B358:K358"/>
    <mergeCell ref="B2:J2"/>
    <mergeCell ref="B593:K593"/>
    <mergeCell ref="B304:K304"/>
    <mergeCell ref="B372:K372"/>
    <mergeCell ref="B157:J157"/>
    <mergeCell ref="B320:I320"/>
    <mergeCell ref="B359:K359"/>
    <mergeCell ref="B251:K251"/>
    <mergeCell ref="B296:K296"/>
    <mergeCell ref="B361:K361"/>
    <mergeCell ref="B218:K218"/>
    <mergeCell ref="B158:J158"/>
    <mergeCell ref="B486:J486"/>
    <mergeCell ref="B121:J121"/>
    <mergeCell ref="B148:J148"/>
    <mergeCell ref="B187:J187"/>
    <mergeCell ref="B189:J189"/>
    <mergeCell ref="B585:J585"/>
    <mergeCell ref="B188:J188"/>
    <mergeCell ref="B4:J4"/>
    <mergeCell ref="B362:K362"/>
    <mergeCell ref="B150:J150"/>
    <mergeCell ref="B190:J190"/>
    <mergeCell ref="B456:J456"/>
    <mergeCell ref="B567:J567"/>
    <mergeCell ref="B478:K478"/>
    <mergeCell ref="B536:K536"/>
    <mergeCell ref="B437:J437"/>
    <mergeCell ref="B342:J342"/>
    <mergeCell ref="B277:K277"/>
    <mergeCell ref="B479:K479"/>
    <mergeCell ref="B375:J375"/>
    <mergeCell ref="B595:J595"/>
    <mergeCell ref="B521:J521"/>
    <mergeCell ref="B483:K483"/>
    <mergeCell ref="B291:K291"/>
    <mergeCell ref="B475:K475"/>
    <mergeCell ref="B511:J511"/>
    <mergeCell ref="B293:K293"/>
    <mergeCell ref="B290:K290"/>
    <mergeCell ref="B367:K367"/>
    <mergeCell ref="B288:K288"/>
    <mergeCell ref="B332:J332"/>
    <mergeCell ref="B287:K287"/>
    <mergeCell ref="B549:J549"/>
    <mergeCell ref="B306:J306"/>
    <mergeCell ref="B508:K508"/>
    <mergeCell ref="B229:K229"/>
    <mergeCell ref="B194:J194"/>
    <mergeCell ref="B349:K349"/>
    <mergeCell ref="B214:J214"/>
    <mergeCell ref="B476:K476"/>
    <mergeCell ref="B210:J210"/>
    <mergeCell ref="B364:K364"/>
    <mergeCell ref="B373:K373"/>
    <mergeCell ref="B219:K219"/>
    <mergeCell ref="B212:J212"/>
    <mergeCell ref="B259:K259"/>
    <mergeCell ref="B206:J206"/>
    <mergeCell ref="B209:J209"/>
    <mergeCell ref="B267:K267"/>
    <mergeCell ref="B202:J202"/>
    <mergeCell ref="B253:K253"/>
    <mergeCell ref="B230:K230"/>
    <mergeCell ref="B257:K257"/>
    <mergeCell ref="B254:K254"/>
    <mergeCell ref="B565:K565"/>
    <mergeCell ref="B623:J623"/>
    <mergeCell ref="B266:K266"/>
    <mergeCell ref="B73:J73"/>
    <mergeCell ref="B564:K564"/>
    <mergeCell ref="B82:J82"/>
    <mergeCell ref="B252:K252"/>
    <mergeCell ref="B192:J192"/>
    <mergeCell ref="B365:K365"/>
    <mergeCell ref="B292:K292"/>
    <mergeCell ref="B139:J139"/>
    <mergeCell ref="B366:K366"/>
    <mergeCell ref="B537:K537"/>
    <mergeCell ref="B207:J207"/>
    <mergeCell ref="B294:K294"/>
    <mergeCell ref="B203:J203"/>
    <mergeCell ref="B350:K350"/>
    <mergeCell ref="B399:J399"/>
    <mergeCell ref="B303:K303"/>
    <mergeCell ref="B509:K509"/>
    <mergeCell ref="B592:K592"/>
    <mergeCell ref="B484:K484"/>
    <mergeCell ref="B614:J614"/>
    <mergeCell ref="B213:J213"/>
    <mergeCell ref="B480:K480"/>
    <mergeCell ref="B250:K250"/>
    <mergeCell ref="B114:C114"/>
    <mergeCell ref="B149:J149"/>
    <mergeCell ref="B215:J215"/>
    <mergeCell ref="B289:K289"/>
    <mergeCell ref="B12:J12"/>
    <mergeCell ref="B539:J539"/>
    <mergeCell ref="B322:J322"/>
    <mergeCell ref="B497:J497"/>
    <mergeCell ref="B418:J418"/>
    <mergeCell ref="B177:J177"/>
    <mergeCell ref="B63:J63"/>
    <mergeCell ref="B140:J140"/>
    <mergeCell ref="B96:J96"/>
    <mergeCell ref="B152:J152"/>
    <mergeCell ref="B151:J1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4A6B"/>
  </sheetPr>
  <dimension ref="B1:I176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12" customWidth="1"/>
    <col min="3" max="3" width="14" customWidth="1"/>
    <col min="4" max="4" width="22" customWidth="1"/>
    <col min="5" max="5" width="18" customWidth="1"/>
    <col min="6" max="6" width="16" customWidth="1"/>
    <col min="7" max="7" width="14" customWidth="1"/>
    <col min="8" max="8" width="12" customWidth="1"/>
    <col min="9" max="9" width="14" customWidth="1"/>
    <col min="10" max="10" width="28" customWidth="1"/>
  </cols>
  <sheetData>
    <row r="1" spans="2:9" ht="30" customHeight="1" x14ac:dyDescent="0.2">
      <c r="B1" s="178" t="s">
        <v>544</v>
      </c>
      <c r="C1" s="179"/>
      <c r="D1" s="179"/>
      <c r="E1" s="179"/>
      <c r="F1" s="179"/>
      <c r="G1" s="179"/>
      <c r="H1" s="179"/>
      <c r="I1" s="180"/>
    </row>
    <row r="3" spans="2:9" ht="16" customHeight="1" x14ac:dyDescent="0.2">
      <c r="B3" s="175" t="s">
        <v>545</v>
      </c>
      <c r="C3" s="176"/>
      <c r="D3" s="176"/>
      <c r="E3" s="176"/>
      <c r="F3" s="176"/>
      <c r="G3" s="176"/>
      <c r="H3" s="176"/>
      <c r="I3" s="177"/>
    </row>
    <row r="4" spans="2:9" ht="18" customHeight="1" x14ac:dyDescent="0.2">
      <c r="B4" s="2" t="s">
        <v>73</v>
      </c>
      <c r="C4" s="2" t="s">
        <v>9</v>
      </c>
      <c r="D4" s="2" t="s">
        <v>10</v>
      </c>
      <c r="E4" s="2" t="s">
        <v>546</v>
      </c>
    </row>
    <row r="5" spans="2:9" x14ac:dyDescent="0.2">
      <c r="B5" s="14" t="s">
        <v>78</v>
      </c>
      <c r="C5" s="5">
        <v>3745.4</v>
      </c>
      <c r="D5" s="5">
        <v>0</v>
      </c>
      <c r="E5" s="15">
        <f t="shared" ref="E5:E10" si="0">C5+D5</f>
        <v>3745.4</v>
      </c>
    </row>
    <row r="6" spans="2:9" x14ac:dyDescent="0.2">
      <c r="B6" s="16" t="s">
        <v>79</v>
      </c>
      <c r="C6" s="8">
        <v>9515.9</v>
      </c>
      <c r="D6" s="8">
        <v>0</v>
      </c>
      <c r="E6" s="17">
        <f t="shared" si="0"/>
        <v>9515.9</v>
      </c>
    </row>
    <row r="7" spans="2:9" x14ac:dyDescent="0.2">
      <c r="B7" s="14" t="s">
        <v>80</v>
      </c>
      <c r="C7" s="5">
        <v>14231.47</v>
      </c>
      <c r="D7" s="5">
        <v>11432.41</v>
      </c>
      <c r="E7" s="15">
        <f t="shared" si="0"/>
        <v>25663.879999999997</v>
      </c>
    </row>
    <row r="8" spans="2:9" x14ac:dyDescent="0.2">
      <c r="B8" s="16" t="s">
        <v>81</v>
      </c>
      <c r="C8" s="8">
        <v>5330.44</v>
      </c>
      <c r="D8" s="8">
        <v>10330</v>
      </c>
      <c r="E8" s="17">
        <f t="shared" si="0"/>
        <v>15660.439999999999</v>
      </c>
    </row>
    <row r="9" spans="2:9" x14ac:dyDescent="0.2">
      <c r="B9" s="14" t="s">
        <v>82</v>
      </c>
      <c r="C9" s="5">
        <v>3308.38</v>
      </c>
      <c r="D9" s="5">
        <v>23620</v>
      </c>
      <c r="E9" s="18">
        <f t="shared" si="0"/>
        <v>26928.38</v>
      </c>
    </row>
    <row r="10" spans="2:9" x14ac:dyDescent="0.2">
      <c r="B10" s="16" t="s">
        <v>83</v>
      </c>
      <c r="C10" s="8">
        <v>1114.17</v>
      </c>
      <c r="D10" s="8">
        <v>480</v>
      </c>
      <c r="E10" s="17">
        <f t="shared" si="0"/>
        <v>1594.17</v>
      </c>
    </row>
    <row r="13" spans="2:9" ht="16" customHeight="1" x14ac:dyDescent="0.2">
      <c r="B13" s="175" t="s">
        <v>547</v>
      </c>
      <c r="C13" s="176"/>
      <c r="D13" s="176"/>
      <c r="E13" s="176"/>
      <c r="F13" s="176"/>
      <c r="G13" s="176"/>
      <c r="H13" s="176"/>
      <c r="I13" s="177"/>
    </row>
    <row r="14" spans="2:9" ht="18" customHeight="1" x14ac:dyDescent="0.2">
      <c r="B14" s="2" t="s">
        <v>356</v>
      </c>
      <c r="C14" s="2" t="s">
        <v>173</v>
      </c>
      <c r="D14" s="2" t="s">
        <v>57</v>
      </c>
      <c r="E14" s="2" t="s">
        <v>357</v>
      </c>
      <c r="F14" s="2" t="s">
        <v>548</v>
      </c>
      <c r="G14" s="2" t="s">
        <v>549</v>
      </c>
      <c r="H14" s="2"/>
      <c r="I14" s="2" t="s">
        <v>507</v>
      </c>
    </row>
    <row r="15" spans="2:9" x14ac:dyDescent="0.2">
      <c r="B15" s="19">
        <v>46028</v>
      </c>
      <c r="C15" s="20" t="s">
        <v>550</v>
      </c>
      <c r="D15" s="20" t="s">
        <v>109</v>
      </c>
      <c r="E15" s="20" t="s">
        <v>551</v>
      </c>
      <c r="F15" s="26">
        <v>-173.79</v>
      </c>
      <c r="G15" s="20" t="s">
        <v>176</v>
      </c>
      <c r="H15" s="21"/>
      <c r="I15" s="20" t="s">
        <v>552</v>
      </c>
    </row>
    <row r="16" spans="2:9" x14ac:dyDescent="0.2">
      <c r="B16" s="22">
        <v>46030</v>
      </c>
      <c r="C16" s="23" t="s">
        <v>550</v>
      </c>
      <c r="D16" s="23" t="s">
        <v>101</v>
      </c>
      <c r="E16" s="23" t="s">
        <v>553</v>
      </c>
      <c r="F16" s="25">
        <v>-111.58</v>
      </c>
      <c r="G16" s="23" t="s">
        <v>176</v>
      </c>
      <c r="H16" s="24"/>
      <c r="I16" s="23" t="s">
        <v>552</v>
      </c>
    </row>
    <row r="17" spans="2:9" x14ac:dyDescent="0.2">
      <c r="B17" s="19">
        <v>46030</v>
      </c>
      <c r="C17" s="20" t="s">
        <v>550</v>
      </c>
      <c r="D17" s="20" t="s">
        <v>108</v>
      </c>
      <c r="E17" s="20" t="s">
        <v>348</v>
      </c>
      <c r="F17" s="26">
        <v>-21.9</v>
      </c>
      <c r="G17" s="20" t="s">
        <v>176</v>
      </c>
      <c r="H17" s="21"/>
      <c r="I17" s="20" t="s">
        <v>552</v>
      </c>
    </row>
    <row r="18" spans="2:9" x14ac:dyDescent="0.2">
      <c r="B18" s="22">
        <v>46032</v>
      </c>
      <c r="C18" s="23" t="s">
        <v>550</v>
      </c>
      <c r="D18" s="23" t="s">
        <v>109</v>
      </c>
      <c r="E18" s="23" t="s">
        <v>554</v>
      </c>
      <c r="F18" s="25">
        <v>-111.6</v>
      </c>
      <c r="G18" s="23" t="s">
        <v>176</v>
      </c>
      <c r="H18" s="24"/>
      <c r="I18" s="23" t="s">
        <v>552</v>
      </c>
    </row>
    <row r="19" spans="2:9" x14ac:dyDescent="0.2">
      <c r="B19" s="19">
        <v>46032</v>
      </c>
      <c r="C19" s="20" t="s">
        <v>550</v>
      </c>
      <c r="D19" s="20" t="s">
        <v>108</v>
      </c>
      <c r="E19" s="20" t="s">
        <v>348</v>
      </c>
      <c r="F19" s="26">
        <v>-19.899999999999999</v>
      </c>
      <c r="G19" s="20" t="s">
        <v>176</v>
      </c>
      <c r="H19" s="21"/>
      <c r="I19" s="20" t="s">
        <v>552</v>
      </c>
    </row>
    <row r="20" spans="2:9" x14ac:dyDescent="0.2">
      <c r="B20" s="22">
        <v>46035</v>
      </c>
      <c r="C20" s="23" t="s">
        <v>550</v>
      </c>
      <c r="D20" s="23" t="s">
        <v>104</v>
      </c>
      <c r="E20" s="23" t="s">
        <v>555</v>
      </c>
      <c r="F20" s="25">
        <v>-0.78</v>
      </c>
      <c r="G20" s="23" t="s">
        <v>176</v>
      </c>
      <c r="H20" s="24"/>
      <c r="I20" s="23" t="s">
        <v>552</v>
      </c>
    </row>
    <row r="21" spans="2:9" x14ac:dyDescent="0.2">
      <c r="B21" s="19">
        <v>46036</v>
      </c>
      <c r="C21" s="20" t="s">
        <v>550</v>
      </c>
      <c r="D21" s="20" t="s">
        <v>101</v>
      </c>
      <c r="E21" s="20" t="s">
        <v>333</v>
      </c>
      <c r="F21" s="26">
        <v>-25.79</v>
      </c>
      <c r="G21" s="20" t="s">
        <v>176</v>
      </c>
      <c r="H21" s="21"/>
      <c r="I21" s="20" t="s">
        <v>552</v>
      </c>
    </row>
    <row r="22" spans="2:9" x14ac:dyDescent="0.2">
      <c r="B22" s="22">
        <v>46037</v>
      </c>
      <c r="C22" s="23" t="s">
        <v>550</v>
      </c>
      <c r="D22" s="23" t="s">
        <v>106</v>
      </c>
      <c r="E22" s="23" t="s">
        <v>556</v>
      </c>
      <c r="F22" s="25">
        <v>-235.52</v>
      </c>
      <c r="G22" s="23" t="s">
        <v>176</v>
      </c>
      <c r="H22" s="24"/>
      <c r="I22" s="23" t="s">
        <v>552</v>
      </c>
    </row>
    <row r="23" spans="2:9" x14ac:dyDescent="0.2">
      <c r="B23" s="19">
        <v>46038</v>
      </c>
      <c r="C23" s="20" t="s">
        <v>550</v>
      </c>
      <c r="D23" s="20" t="s">
        <v>103</v>
      </c>
      <c r="E23" s="20" t="s">
        <v>557</v>
      </c>
      <c r="F23" s="26">
        <v>-143.6</v>
      </c>
      <c r="G23" s="20" t="s">
        <v>176</v>
      </c>
      <c r="H23" s="21"/>
      <c r="I23" s="20" t="s">
        <v>552</v>
      </c>
    </row>
    <row r="24" spans="2:9" x14ac:dyDescent="0.2">
      <c r="B24" s="22">
        <v>46038</v>
      </c>
      <c r="C24" s="23" t="s">
        <v>550</v>
      </c>
      <c r="D24" s="23" t="s">
        <v>109</v>
      </c>
      <c r="E24" s="23" t="s">
        <v>558</v>
      </c>
      <c r="F24" s="25">
        <v>-191.8</v>
      </c>
      <c r="G24" s="23" t="s">
        <v>176</v>
      </c>
      <c r="H24" s="24"/>
      <c r="I24" s="23" t="s">
        <v>552</v>
      </c>
    </row>
    <row r="25" spans="2:9" x14ac:dyDescent="0.2">
      <c r="B25" s="19">
        <v>46039</v>
      </c>
      <c r="C25" s="20" t="s">
        <v>550</v>
      </c>
      <c r="D25" s="20" t="s">
        <v>101</v>
      </c>
      <c r="E25" s="20" t="s">
        <v>553</v>
      </c>
      <c r="F25" s="26">
        <v>-111.37</v>
      </c>
      <c r="G25" s="20" t="s">
        <v>176</v>
      </c>
      <c r="H25" s="21"/>
      <c r="I25" s="20" t="s">
        <v>552</v>
      </c>
    </row>
    <row r="26" spans="2:9" x14ac:dyDescent="0.2">
      <c r="B26" s="22">
        <v>46039</v>
      </c>
      <c r="C26" s="23" t="s">
        <v>550</v>
      </c>
      <c r="D26" s="23" t="s">
        <v>103</v>
      </c>
      <c r="E26" s="23" t="s">
        <v>559</v>
      </c>
      <c r="F26" s="25">
        <v>-111</v>
      </c>
      <c r="G26" s="23" t="s">
        <v>176</v>
      </c>
      <c r="H26" s="24"/>
      <c r="I26" s="23" t="s">
        <v>552</v>
      </c>
    </row>
    <row r="27" spans="2:9" x14ac:dyDescent="0.2">
      <c r="B27" s="19">
        <v>46041</v>
      </c>
      <c r="C27" s="20" t="s">
        <v>550</v>
      </c>
      <c r="D27" s="20" t="s">
        <v>108</v>
      </c>
      <c r="E27" s="20" t="s">
        <v>560</v>
      </c>
      <c r="F27" s="26">
        <v>-111.11</v>
      </c>
      <c r="G27" s="20" t="s">
        <v>176</v>
      </c>
      <c r="H27" s="21"/>
      <c r="I27" s="20" t="s">
        <v>552</v>
      </c>
    </row>
    <row r="28" spans="2:9" x14ac:dyDescent="0.2">
      <c r="B28" s="22">
        <v>46043</v>
      </c>
      <c r="C28" s="23" t="s">
        <v>550</v>
      </c>
      <c r="D28" s="23" t="s">
        <v>101</v>
      </c>
      <c r="E28" s="23" t="s">
        <v>561</v>
      </c>
      <c r="F28" s="25">
        <v>-1138.5</v>
      </c>
      <c r="G28" s="23" t="s">
        <v>176</v>
      </c>
      <c r="H28" s="24"/>
      <c r="I28" s="23" t="s">
        <v>552</v>
      </c>
    </row>
    <row r="29" spans="2:9" x14ac:dyDescent="0.2">
      <c r="B29" s="19">
        <v>46043</v>
      </c>
      <c r="C29" s="20" t="s">
        <v>550</v>
      </c>
      <c r="D29" s="20" t="s">
        <v>101</v>
      </c>
      <c r="E29" s="20" t="s">
        <v>333</v>
      </c>
      <c r="F29" s="26">
        <v>-556.83000000000004</v>
      </c>
      <c r="G29" s="20" t="s">
        <v>176</v>
      </c>
      <c r="H29" s="21"/>
      <c r="I29" s="20" t="s">
        <v>552</v>
      </c>
    </row>
    <row r="30" spans="2:9" x14ac:dyDescent="0.2">
      <c r="B30" s="22">
        <v>46049</v>
      </c>
      <c r="C30" s="23" t="s">
        <v>550</v>
      </c>
      <c r="D30" s="23" t="s">
        <v>104</v>
      </c>
      <c r="E30" s="23" t="s">
        <v>339</v>
      </c>
      <c r="F30" s="25">
        <v>-524.63</v>
      </c>
      <c r="G30" s="23" t="s">
        <v>176</v>
      </c>
      <c r="H30" s="24"/>
      <c r="I30" s="23" t="s">
        <v>552</v>
      </c>
    </row>
    <row r="31" spans="2:9" x14ac:dyDescent="0.2">
      <c r="B31" s="19">
        <v>46050</v>
      </c>
      <c r="C31" s="20" t="s">
        <v>550</v>
      </c>
      <c r="D31" s="20" t="s">
        <v>109</v>
      </c>
      <c r="E31" s="20" t="s">
        <v>554</v>
      </c>
      <c r="F31" s="26">
        <v>-55.8</v>
      </c>
      <c r="G31" s="20" t="s">
        <v>176</v>
      </c>
      <c r="H31" s="21"/>
      <c r="I31" s="20" t="s">
        <v>552</v>
      </c>
    </row>
    <row r="32" spans="2:9" x14ac:dyDescent="0.2">
      <c r="B32" s="22">
        <v>46052</v>
      </c>
      <c r="C32" s="23" t="s">
        <v>550</v>
      </c>
      <c r="D32" s="23" t="s">
        <v>108</v>
      </c>
      <c r="E32" s="23" t="s">
        <v>348</v>
      </c>
      <c r="F32" s="25">
        <v>-99.9</v>
      </c>
      <c r="G32" s="23" t="s">
        <v>176</v>
      </c>
      <c r="H32" s="24"/>
      <c r="I32" s="23" t="s">
        <v>552</v>
      </c>
    </row>
    <row r="33" spans="2:9" x14ac:dyDescent="0.2">
      <c r="B33" s="19">
        <v>46056</v>
      </c>
      <c r="C33" s="20" t="s">
        <v>550</v>
      </c>
      <c r="D33" s="20" t="s">
        <v>104</v>
      </c>
      <c r="E33" s="20" t="s">
        <v>562</v>
      </c>
      <c r="F33" s="26">
        <v>-272.20999999999998</v>
      </c>
      <c r="G33" s="20" t="s">
        <v>176</v>
      </c>
      <c r="H33" s="21"/>
      <c r="I33" s="20" t="s">
        <v>552</v>
      </c>
    </row>
    <row r="34" spans="2:9" x14ac:dyDescent="0.2">
      <c r="B34" s="22">
        <v>46057</v>
      </c>
      <c r="C34" s="23" t="s">
        <v>550</v>
      </c>
      <c r="D34" s="23" t="s">
        <v>103</v>
      </c>
      <c r="E34" s="23" t="s">
        <v>563</v>
      </c>
      <c r="F34" s="25">
        <v>-168</v>
      </c>
      <c r="G34" s="23" t="s">
        <v>176</v>
      </c>
      <c r="H34" s="24"/>
      <c r="I34" s="23" t="s">
        <v>552</v>
      </c>
    </row>
    <row r="35" spans="2:9" x14ac:dyDescent="0.2">
      <c r="B35" s="19">
        <v>46058</v>
      </c>
      <c r="C35" s="20" t="s">
        <v>550</v>
      </c>
      <c r="D35" s="20" t="s">
        <v>103</v>
      </c>
      <c r="E35" s="20" t="s">
        <v>564</v>
      </c>
      <c r="F35" s="26">
        <v>-84</v>
      </c>
      <c r="G35" s="20" t="s">
        <v>176</v>
      </c>
      <c r="H35" s="21"/>
      <c r="I35" s="20" t="s">
        <v>552</v>
      </c>
    </row>
    <row r="36" spans="2:9" x14ac:dyDescent="0.2">
      <c r="B36" s="22">
        <v>46058</v>
      </c>
      <c r="C36" s="23" t="s">
        <v>550</v>
      </c>
      <c r="D36" s="23" t="s">
        <v>101</v>
      </c>
      <c r="E36" s="23" t="s">
        <v>553</v>
      </c>
      <c r="F36" s="25">
        <v>-108.89</v>
      </c>
      <c r="G36" s="23" t="s">
        <v>176</v>
      </c>
      <c r="H36" s="24"/>
      <c r="I36" s="23" t="s">
        <v>565</v>
      </c>
    </row>
    <row r="37" spans="2:9" x14ac:dyDescent="0.2">
      <c r="B37" s="19">
        <v>46061</v>
      </c>
      <c r="C37" s="20" t="s">
        <v>550</v>
      </c>
      <c r="D37" s="20" t="s">
        <v>108</v>
      </c>
      <c r="E37" s="20" t="s">
        <v>347</v>
      </c>
      <c r="F37" s="26">
        <v>-21.9</v>
      </c>
      <c r="G37" s="20" t="s">
        <v>176</v>
      </c>
      <c r="H37" s="21"/>
      <c r="I37" s="20" t="s">
        <v>565</v>
      </c>
    </row>
    <row r="38" spans="2:9" x14ac:dyDescent="0.2">
      <c r="B38" s="22">
        <v>46062</v>
      </c>
      <c r="C38" s="23" t="s">
        <v>550</v>
      </c>
      <c r="D38" s="23" t="s">
        <v>103</v>
      </c>
      <c r="E38" s="23" t="s">
        <v>566</v>
      </c>
      <c r="F38" s="25">
        <v>-150</v>
      </c>
      <c r="G38" s="23" t="s">
        <v>176</v>
      </c>
      <c r="H38" s="24"/>
      <c r="I38" s="23" t="s">
        <v>565</v>
      </c>
    </row>
    <row r="39" spans="2:9" x14ac:dyDescent="0.2">
      <c r="B39" s="19">
        <v>46063</v>
      </c>
      <c r="C39" s="20" t="s">
        <v>550</v>
      </c>
      <c r="D39" s="20" t="s">
        <v>108</v>
      </c>
      <c r="E39" s="20" t="s">
        <v>347</v>
      </c>
      <c r="F39" s="26">
        <v>-19.899999999999999</v>
      </c>
      <c r="G39" s="20" t="s">
        <v>176</v>
      </c>
      <c r="H39" s="21"/>
      <c r="I39" s="20" t="s">
        <v>565</v>
      </c>
    </row>
    <row r="40" spans="2:9" x14ac:dyDescent="0.2">
      <c r="B40" s="22">
        <v>46064</v>
      </c>
      <c r="C40" s="23" t="s">
        <v>550</v>
      </c>
      <c r="D40" s="23" t="s">
        <v>100</v>
      </c>
      <c r="E40" s="23" t="s">
        <v>332</v>
      </c>
      <c r="F40" s="25">
        <v>-6282.36</v>
      </c>
      <c r="G40" s="23" t="s">
        <v>176</v>
      </c>
      <c r="H40" s="24"/>
      <c r="I40" s="23" t="s">
        <v>565</v>
      </c>
    </row>
    <row r="41" spans="2:9" x14ac:dyDescent="0.2">
      <c r="B41" s="19">
        <v>46067</v>
      </c>
      <c r="C41" s="20" t="s">
        <v>550</v>
      </c>
      <c r="D41" s="20" t="s">
        <v>101</v>
      </c>
      <c r="E41" s="20" t="s">
        <v>567</v>
      </c>
      <c r="F41" s="26">
        <v>-51.75</v>
      </c>
      <c r="G41" s="20" t="s">
        <v>176</v>
      </c>
      <c r="H41" s="21"/>
      <c r="I41" s="20" t="s">
        <v>565</v>
      </c>
    </row>
    <row r="42" spans="2:9" x14ac:dyDescent="0.2">
      <c r="B42" s="22">
        <v>46067</v>
      </c>
      <c r="C42" s="23" t="s">
        <v>550</v>
      </c>
      <c r="D42" s="23" t="s">
        <v>103</v>
      </c>
      <c r="E42" s="23" t="s">
        <v>568</v>
      </c>
      <c r="F42" s="25">
        <v>-206</v>
      </c>
      <c r="G42" s="23" t="s">
        <v>176</v>
      </c>
      <c r="H42" s="24"/>
      <c r="I42" s="23" t="s">
        <v>565</v>
      </c>
    </row>
    <row r="43" spans="2:9" x14ac:dyDescent="0.2">
      <c r="B43" s="19">
        <v>46067</v>
      </c>
      <c r="C43" s="20" t="s">
        <v>550</v>
      </c>
      <c r="D43" s="20" t="s">
        <v>103</v>
      </c>
      <c r="E43" s="20" t="s">
        <v>569</v>
      </c>
      <c r="F43" s="26">
        <v>-168</v>
      </c>
      <c r="G43" s="20" t="s">
        <v>176</v>
      </c>
      <c r="H43" s="21"/>
      <c r="I43" s="20" t="s">
        <v>565</v>
      </c>
    </row>
    <row r="44" spans="2:9" x14ac:dyDescent="0.2">
      <c r="B44" s="22">
        <v>46069</v>
      </c>
      <c r="C44" s="23" t="s">
        <v>550</v>
      </c>
      <c r="D44" s="23" t="s">
        <v>106</v>
      </c>
      <c r="E44" s="23" t="s">
        <v>570</v>
      </c>
      <c r="F44" s="25">
        <v>-235.52</v>
      </c>
      <c r="G44" s="23" t="s">
        <v>176</v>
      </c>
      <c r="H44" s="24"/>
      <c r="I44" s="23" t="s">
        <v>565</v>
      </c>
    </row>
    <row r="45" spans="2:9" x14ac:dyDescent="0.2">
      <c r="B45" s="19">
        <v>46070</v>
      </c>
      <c r="C45" s="20" t="s">
        <v>550</v>
      </c>
      <c r="D45" s="20" t="s">
        <v>101</v>
      </c>
      <c r="E45" s="20" t="s">
        <v>553</v>
      </c>
      <c r="F45" s="26">
        <v>-108.27</v>
      </c>
      <c r="G45" s="20" t="s">
        <v>176</v>
      </c>
      <c r="H45" s="21"/>
      <c r="I45" s="20" t="s">
        <v>565</v>
      </c>
    </row>
    <row r="46" spans="2:9" x14ac:dyDescent="0.2">
      <c r="B46" s="22">
        <v>46071</v>
      </c>
      <c r="C46" s="23" t="s">
        <v>550</v>
      </c>
      <c r="D46" s="23" t="s">
        <v>103</v>
      </c>
      <c r="E46" s="23" t="s">
        <v>571</v>
      </c>
      <c r="F46" s="25">
        <v>-168</v>
      </c>
      <c r="G46" s="23" t="s">
        <v>176</v>
      </c>
      <c r="H46" s="24"/>
      <c r="I46" s="23" t="s">
        <v>565</v>
      </c>
    </row>
    <row r="47" spans="2:9" x14ac:dyDescent="0.2">
      <c r="B47" s="19">
        <v>46074</v>
      </c>
      <c r="C47" s="20" t="s">
        <v>550</v>
      </c>
      <c r="D47" s="20" t="s">
        <v>103</v>
      </c>
      <c r="E47" s="20" t="s">
        <v>572</v>
      </c>
      <c r="F47" s="26">
        <v>-168</v>
      </c>
      <c r="G47" s="20" t="s">
        <v>176</v>
      </c>
      <c r="H47" s="21"/>
      <c r="I47" s="20" t="s">
        <v>565</v>
      </c>
    </row>
    <row r="48" spans="2:9" x14ac:dyDescent="0.2">
      <c r="B48" s="22">
        <v>46074</v>
      </c>
      <c r="C48" s="23" t="s">
        <v>550</v>
      </c>
      <c r="D48" s="23" t="s">
        <v>103</v>
      </c>
      <c r="E48" s="23" t="s">
        <v>573</v>
      </c>
      <c r="F48" s="25">
        <v>-238</v>
      </c>
      <c r="G48" s="23" t="s">
        <v>176</v>
      </c>
      <c r="H48" s="24"/>
      <c r="I48" s="23" t="s">
        <v>565</v>
      </c>
    </row>
    <row r="49" spans="2:9" x14ac:dyDescent="0.2">
      <c r="B49" s="19">
        <v>46074</v>
      </c>
      <c r="C49" s="20" t="s">
        <v>550</v>
      </c>
      <c r="D49" s="20" t="s">
        <v>101</v>
      </c>
      <c r="E49" s="20" t="s">
        <v>333</v>
      </c>
      <c r="F49" s="26">
        <v>-538.20000000000005</v>
      </c>
      <c r="G49" s="20" t="s">
        <v>176</v>
      </c>
      <c r="H49" s="21"/>
      <c r="I49" s="20" t="s">
        <v>565</v>
      </c>
    </row>
    <row r="50" spans="2:9" x14ac:dyDescent="0.2">
      <c r="B50" s="22">
        <v>46076</v>
      </c>
      <c r="C50" s="23" t="s">
        <v>550</v>
      </c>
      <c r="D50" s="23" t="s">
        <v>103</v>
      </c>
      <c r="E50" s="23" t="s">
        <v>574</v>
      </c>
      <c r="F50" s="25">
        <v>-140</v>
      </c>
      <c r="G50" s="23" t="s">
        <v>176</v>
      </c>
      <c r="H50" s="24"/>
      <c r="I50" s="23" t="s">
        <v>565</v>
      </c>
    </row>
    <row r="51" spans="2:9" x14ac:dyDescent="0.2">
      <c r="B51" s="19">
        <v>46079</v>
      </c>
      <c r="C51" s="20" t="s">
        <v>550</v>
      </c>
      <c r="D51" s="20" t="s">
        <v>103</v>
      </c>
      <c r="E51" s="20" t="s">
        <v>575</v>
      </c>
      <c r="F51" s="26">
        <v>-168</v>
      </c>
      <c r="G51" s="20" t="s">
        <v>176</v>
      </c>
      <c r="H51" s="21"/>
      <c r="I51" s="20" t="s">
        <v>565</v>
      </c>
    </row>
    <row r="52" spans="2:9" x14ac:dyDescent="0.2">
      <c r="B52" s="22">
        <v>46080</v>
      </c>
      <c r="C52" s="23" t="s">
        <v>550</v>
      </c>
      <c r="D52" s="23" t="s">
        <v>103</v>
      </c>
      <c r="E52" s="23" t="s">
        <v>576</v>
      </c>
      <c r="F52" s="25">
        <v>-119</v>
      </c>
      <c r="G52" s="23" t="s">
        <v>176</v>
      </c>
      <c r="H52" s="24"/>
      <c r="I52" s="23" t="s">
        <v>565</v>
      </c>
    </row>
    <row r="53" spans="2:9" x14ac:dyDescent="0.2">
      <c r="B53" s="19">
        <v>46081</v>
      </c>
      <c r="C53" s="20" t="s">
        <v>550</v>
      </c>
      <c r="D53" s="20" t="s">
        <v>108</v>
      </c>
      <c r="E53" s="20" t="s">
        <v>347</v>
      </c>
      <c r="F53" s="26">
        <v>-99.9</v>
      </c>
      <c r="G53" s="20" t="s">
        <v>176</v>
      </c>
      <c r="H53" s="21"/>
      <c r="I53" s="20" t="s">
        <v>565</v>
      </c>
    </row>
    <row r="54" spans="2:9" x14ac:dyDescent="0.2">
      <c r="B54" s="22">
        <v>46085</v>
      </c>
      <c r="C54" s="23" t="s">
        <v>550</v>
      </c>
      <c r="D54" s="23" t="s">
        <v>103</v>
      </c>
      <c r="E54" s="23" t="s">
        <v>577</v>
      </c>
      <c r="F54" s="25">
        <v>-221</v>
      </c>
      <c r="G54" s="23" t="s">
        <v>176</v>
      </c>
      <c r="H54" s="24"/>
      <c r="I54" s="23" t="s">
        <v>565</v>
      </c>
    </row>
    <row r="55" spans="2:9" x14ac:dyDescent="0.2">
      <c r="B55" s="19">
        <v>46086</v>
      </c>
      <c r="C55" s="20" t="s">
        <v>550</v>
      </c>
      <c r="D55" s="20" t="s">
        <v>101</v>
      </c>
      <c r="E55" s="20" t="s">
        <v>553</v>
      </c>
      <c r="F55" s="26">
        <v>-108.47</v>
      </c>
      <c r="G55" s="20" t="s">
        <v>176</v>
      </c>
      <c r="H55" s="21"/>
      <c r="I55" s="20" t="s">
        <v>578</v>
      </c>
    </row>
    <row r="56" spans="2:9" x14ac:dyDescent="0.2">
      <c r="B56" s="22">
        <v>46088</v>
      </c>
      <c r="C56" s="23" t="s">
        <v>550</v>
      </c>
      <c r="D56" s="23" t="s">
        <v>103</v>
      </c>
      <c r="E56" s="23" t="s">
        <v>579</v>
      </c>
      <c r="F56" s="25">
        <v>-243</v>
      </c>
      <c r="G56" s="23" t="s">
        <v>176</v>
      </c>
      <c r="H56" s="24"/>
      <c r="I56" s="23" t="s">
        <v>578</v>
      </c>
    </row>
    <row r="57" spans="2:9" x14ac:dyDescent="0.2">
      <c r="B57" s="19">
        <v>46088</v>
      </c>
      <c r="C57" s="20" t="s">
        <v>550</v>
      </c>
      <c r="D57" s="20" t="s">
        <v>103</v>
      </c>
      <c r="E57" s="20" t="s">
        <v>580</v>
      </c>
      <c r="F57" s="26">
        <v>-168</v>
      </c>
      <c r="G57" s="20" t="s">
        <v>176</v>
      </c>
      <c r="H57" s="21"/>
      <c r="I57" s="20" t="s">
        <v>578</v>
      </c>
    </row>
    <row r="58" spans="2:9" x14ac:dyDescent="0.2">
      <c r="B58" s="22">
        <v>46089</v>
      </c>
      <c r="C58" s="23" t="s">
        <v>550</v>
      </c>
      <c r="D58" s="23" t="s">
        <v>108</v>
      </c>
      <c r="E58" s="23" t="s">
        <v>347</v>
      </c>
      <c r="F58" s="25">
        <v>-21.9</v>
      </c>
      <c r="G58" s="23" t="s">
        <v>176</v>
      </c>
      <c r="H58" s="24"/>
      <c r="I58" s="23" t="s">
        <v>578</v>
      </c>
    </row>
    <row r="59" spans="2:9" x14ac:dyDescent="0.2">
      <c r="B59" s="19">
        <v>46089</v>
      </c>
      <c r="C59" s="20" t="s">
        <v>550</v>
      </c>
      <c r="D59" s="20" t="s">
        <v>100</v>
      </c>
      <c r="E59" s="20" t="s">
        <v>343</v>
      </c>
      <c r="F59" s="26">
        <v>-453.64</v>
      </c>
      <c r="G59" s="20" t="s">
        <v>176</v>
      </c>
      <c r="H59" s="21"/>
      <c r="I59" s="20" t="s">
        <v>578</v>
      </c>
    </row>
    <row r="60" spans="2:9" x14ac:dyDescent="0.2">
      <c r="B60" s="22">
        <v>46089</v>
      </c>
      <c r="C60" s="23" t="s">
        <v>550</v>
      </c>
      <c r="D60" s="23" t="s">
        <v>101</v>
      </c>
      <c r="E60" s="23" t="s">
        <v>581</v>
      </c>
      <c r="F60" s="25">
        <v>-54.76</v>
      </c>
      <c r="G60" s="23" t="s">
        <v>176</v>
      </c>
      <c r="H60" s="24"/>
      <c r="I60" s="23" t="s">
        <v>578</v>
      </c>
    </row>
    <row r="61" spans="2:9" x14ac:dyDescent="0.2">
      <c r="B61" s="19">
        <v>46090</v>
      </c>
      <c r="C61" s="20" t="s">
        <v>550</v>
      </c>
      <c r="D61" s="20" t="s">
        <v>60</v>
      </c>
      <c r="E61" s="20" t="s">
        <v>582</v>
      </c>
      <c r="F61" s="26">
        <v>-10.9</v>
      </c>
      <c r="G61" s="20" t="s">
        <v>176</v>
      </c>
      <c r="H61" s="21"/>
      <c r="I61" s="20" t="s">
        <v>578</v>
      </c>
    </row>
    <row r="62" spans="2:9" x14ac:dyDescent="0.2">
      <c r="B62" s="22">
        <v>46091</v>
      </c>
      <c r="C62" s="23" t="s">
        <v>550</v>
      </c>
      <c r="D62" s="23" t="s">
        <v>98</v>
      </c>
      <c r="E62" s="23" t="s">
        <v>331</v>
      </c>
      <c r="F62" s="25">
        <v>-9036.83</v>
      </c>
      <c r="G62" s="23" t="s">
        <v>176</v>
      </c>
      <c r="H62" s="24"/>
      <c r="I62" s="23" t="s">
        <v>578</v>
      </c>
    </row>
    <row r="63" spans="2:9" x14ac:dyDescent="0.2">
      <c r="B63" s="19">
        <v>46091</v>
      </c>
      <c r="C63" s="20" t="s">
        <v>550</v>
      </c>
      <c r="D63" s="20" t="s">
        <v>108</v>
      </c>
      <c r="E63" s="20" t="s">
        <v>347</v>
      </c>
      <c r="F63" s="26">
        <v>-19.899999999999999</v>
      </c>
      <c r="G63" s="20" t="s">
        <v>176</v>
      </c>
      <c r="H63" s="21"/>
      <c r="I63" s="20" t="s">
        <v>578</v>
      </c>
    </row>
    <row r="64" spans="2:9" x14ac:dyDescent="0.2">
      <c r="B64" s="22">
        <v>46091</v>
      </c>
      <c r="C64" s="23" t="s">
        <v>550</v>
      </c>
      <c r="D64" s="23" t="s">
        <v>104</v>
      </c>
      <c r="E64" s="23" t="s">
        <v>583</v>
      </c>
      <c r="F64" s="25">
        <v>-113.78</v>
      </c>
      <c r="G64" s="23" t="s">
        <v>176</v>
      </c>
      <c r="H64" s="24"/>
      <c r="I64" s="23" t="s">
        <v>578</v>
      </c>
    </row>
    <row r="65" spans="2:9" x14ac:dyDescent="0.2">
      <c r="B65" s="19">
        <v>46092</v>
      </c>
      <c r="C65" s="20" t="s">
        <v>550</v>
      </c>
      <c r="D65" s="20" t="s">
        <v>109</v>
      </c>
      <c r="E65" s="20" t="s">
        <v>584</v>
      </c>
      <c r="F65" s="26">
        <v>-7.95</v>
      </c>
      <c r="G65" s="20" t="s">
        <v>176</v>
      </c>
      <c r="H65" s="21"/>
      <c r="I65" s="20" t="s">
        <v>578</v>
      </c>
    </row>
    <row r="66" spans="2:9" x14ac:dyDescent="0.2">
      <c r="B66" s="22">
        <v>46093</v>
      </c>
      <c r="C66" s="23" t="s">
        <v>550</v>
      </c>
      <c r="D66" s="23" t="s">
        <v>103</v>
      </c>
      <c r="E66" s="23" t="s">
        <v>585</v>
      </c>
      <c r="F66" s="25">
        <v>-104</v>
      </c>
      <c r="G66" s="23" t="s">
        <v>176</v>
      </c>
      <c r="H66" s="24"/>
      <c r="I66" s="23" t="s">
        <v>578</v>
      </c>
    </row>
    <row r="67" spans="2:9" x14ac:dyDescent="0.2">
      <c r="B67" s="19">
        <v>46093</v>
      </c>
      <c r="C67" s="20" t="s">
        <v>550</v>
      </c>
      <c r="D67" s="20" t="s">
        <v>103</v>
      </c>
      <c r="E67" s="20" t="s">
        <v>586</v>
      </c>
      <c r="F67" s="26">
        <v>-168</v>
      </c>
      <c r="G67" s="20" t="s">
        <v>176</v>
      </c>
      <c r="H67" s="21"/>
      <c r="I67" s="20" t="s">
        <v>578</v>
      </c>
    </row>
    <row r="68" spans="2:9" x14ac:dyDescent="0.2">
      <c r="B68" s="22">
        <v>46094</v>
      </c>
      <c r="C68" s="23" t="s">
        <v>550</v>
      </c>
      <c r="D68" s="23" t="s">
        <v>103</v>
      </c>
      <c r="E68" s="23" t="s">
        <v>587</v>
      </c>
      <c r="F68" s="25">
        <v>-73.5</v>
      </c>
      <c r="G68" s="23" t="s">
        <v>176</v>
      </c>
      <c r="H68" s="24"/>
      <c r="I68" s="23" t="s">
        <v>578</v>
      </c>
    </row>
    <row r="69" spans="2:9" x14ac:dyDescent="0.2">
      <c r="B69" s="19">
        <v>46094</v>
      </c>
      <c r="C69" s="20" t="s">
        <v>550</v>
      </c>
      <c r="D69" s="20" t="s">
        <v>103</v>
      </c>
      <c r="E69" s="20" t="s">
        <v>588</v>
      </c>
      <c r="F69" s="26">
        <v>-168</v>
      </c>
      <c r="G69" s="20" t="s">
        <v>176</v>
      </c>
      <c r="H69" s="21"/>
      <c r="I69" s="20" t="s">
        <v>578</v>
      </c>
    </row>
    <row r="70" spans="2:9" x14ac:dyDescent="0.2">
      <c r="B70" s="22">
        <v>46095</v>
      </c>
      <c r="C70" s="23" t="s">
        <v>550</v>
      </c>
      <c r="D70" s="23" t="s">
        <v>106</v>
      </c>
      <c r="E70" s="23" t="s">
        <v>336</v>
      </c>
      <c r="F70" s="25">
        <v>-235.52</v>
      </c>
      <c r="G70" s="23" t="s">
        <v>176</v>
      </c>
      <c r="H70" s="24"/>
      <c r="I70" s="23" t="s">
        <v>578</v>
      </c>
    </row>
    <row r="71" spans="2:9" x14ac:dyDescent="0.2">
      <c r="B71" s="19">
        <v>46096</v>
      </c>
      <c r="C71" s="20" t="s">
        <v>550</v>
      </c>
      <c r="D71" s="20" t="s">
        <v>100</v>
      </c>
      <c r="E71" s="20" t="s">
        <v>332</v>
      </c>
      <c r="F71" s="26">
        <v>-510.37</v>
      </c>
      <c r="G71" s="20" t="s">
        <v>176</v>
      </c>
      <c r="H71" s="21"/>
      <c r="I71" s="20" t="s">
        <v>578</v>
      </c>
    </row>
    <row r="72" spans="2:9" x14ac:dyDescent="0.2">
      <c r="B72" s="22">
        <v>46096</v>
      </c>
      <c r="C72" s="23" t="s">
        <v>59</v>
      </c>
      <c r="D72" s="23" t="s">
        <v>10</v>
      </c>
      <c r="E72" s="23" t="s">
        <v>364</v>
      </c>
      <c r="F72" s="25">
        <v>-6000</v>
      </c>
      <c r="G72" s="23" t="s">
        <v>176</v>
      </c>
      <c r="H72" s="24"/>
      <c r="I72" s="23"/>
    </row>
    <row r="73" spans="2:9" x14ac:dyDescent="0.2">
      <c r="B73" s="19">
        <v>46096</v>
      </c>
      <c r="C73" s="20" t="s">
        <v>59</v>
      </c>
      <c r="D73" s="20" t="s">
        <v>10</v>
      </c>
      <c r="E73" s="20" t="s">
        <v>589</v>
      </c>
      <c r="F73" s="26">
        <v>-4582.41</v>
      </c>
      <c r="G73" s="20" t="s">
        <v>176</v>
      </c>
      <c r="H73" s="21"/>
      <c r="I73" s="20"/>
    </row>
    <row r="74" spans="2:9" x14ac:dyDescent="0.2">
      <c r="B74" s="22">
        <v>46097</v>
      </c>
      <c r="C74" s="23" t="s">
        <v>550</v>
      </c>
      <c r="D74" s="23" t="s">
        <v>104</v>
      </c>
      <c r="E74" s="23" t="s">
        <v>590</v>
      </c>
      <c r="F74" s="25">
        <v>-478.17</v>
      </c>
      <c r="G74" s="23" t="s">
        <v>176</v>
      </c>
      <c r="H74" s="24"/>
      <c r="I74" s="23" t="s">
        <v>578</v>
      </c>
    </row>
    <row r="75" spans="2:9" x14ac:dyDescent="0.2">
      <c r="B75" s="19">
        <v>46098</v>
      </c>
      <c r="C75" s="20" t="s">
        <v>550</v>
      </c>
      <c r="D75" s="20" t="s">
        <v>101</v>
      </c>
      <c r="E75" s="20" t="s">
        <v>553</v>
      </c>
      <c r="F75" s="26">
        <v>-108.89</v>
      </c>
      <c r="G75" s="20" t="s">
        <v>176</v>
      </c>
      <c r="H75" s="21"/>
      <c r="I75" s="20" t="s">
        <v>578</v>
      </c>
    </row>
    <row r="76" spans="2:9" x14ac:dyDescent="0.2">
      <c r="B76" s="22">
        <v>46098</v>
      </c>
      <c r="C76" s="23" t="s">
        <v>59</v>
      </c>
      <c r="D76" s="23" t="s">
        <v>10</v>
      </c>
      <c r="E76" s="23" t="s">
        <v>591</v>
      </c>
      <c r="F76" s="25">
        <v>-500</v>
      </c>
      <c r="G76" s="23" t="s">
        <v>176</v>
      </c>
      <c r="H76" s="24"/>
      <c r="I76" s="23"/>
    </row>
    <row r="77" spans="2:9" x14ac:dyDescent="0.2">
      <c r="B77" s="19">
        <v>46099</v>
      </c>
      <c r="C77" s="20" t="s">
        <v>550</v>
      </c>
      <c r="D77" s="20" t="s">
        <v>103</v>
      </c>
      <c r="E77" s="20" t="s">
        <v>592</v>
      </c>
      <c r="F77" s="26">
        <v>-267</v>
      </c>
      <c r="G77" s="20" t="s">
        <v>176</v>
      </c>
      <c r="H77" s="21"/>
      <c r="I77" s="20" t="s">
        <v>578</v>
      </c>
    </row>
    <row r="78" spans="2:9" x14ac:dyDescent="0.2">
      <c r="B78" s="22">
        <v>46100</v>
      </c>
      <c r="C78" s="23" t="s">
        <v>550</v>
      </c>
      <c r="D78" s="23" t="s">
        <v>104</v>
      </c>
      <c r="E78" s="23" t="s">
        <v>593</v>
      </c>
      <c r="F78" s="25">
        <v>-53.93</v>
      </c>
      <c r="G78" s="23" t="s">
        <v>176</v>
      </c>
      <c r="H78" s="24"/>
      <c r="I78" s="23" t="s">
        <v>578</v>
      </c>
    </row>
    <row r="79" spans="2:9" x14ac:dyDescent="0.2">
      <c r="B79" s="19">
        <v>46100</v>
      </c>
      <c r="C79" s="20" t="s">
        <v>550</v>
      </c>
      <c r="D79" s="20" t="s">
        <v>103</v>
      </c>
      <c r="E79" s="20" t="s">
        <v>594</v>
      </c>
      <c r="F79" s="26">
        <v>-119</v>
      </c>
      <c r="G79" s="20" t="s">
        <v>176</v>
      </c>
      <c r="H79" s="21"/>
      <c r="I79" s="20" t="s">
        <v>578</v>
      </c>
    </row>
    <row r="80" spans="2:9" x14ac:dyDescent="0.2">
      <c r="B80" s="22">
        <v>46101</v>
      </c>
      <c r="C80" s="23" t="s">
        <v>550</v>
      </c>
      <c r="D80" s="23" t="s">
        <v>108</v>
      </c>
      <c r="E80" s="23" t="s">
        <v>595</v>
      </c>
      <c r="F80" s="25">
        <v>-96.99</v>
      </c>
      <c r="G80" s="23" t="s">
        <v>176</v>
      </c>
      <c r="H80" s="24"/>
      <c r="I80" s="23" t="s">
        <v>578</v>
      </c>
    </row>
    <row r="81" spans="2:9" x14ac:dyDescent="0.2">
      <c r="B81" s="19">
        <v>46101</v>
      </c>
      <c r="C81" s="20" t="s">
        <v>59</v>
      </c>
      <c r="D81" s="20" t="s">
        <v>10</v>
      </c>
      <c r="E81" s="20" t="s">
        <v>596</v>
      </c>
      <c r="F81" s="26">
        <v>-350</v>
      </c>
      <c r="G81" s="20" t="s">
        <v>176</v>
      </c>
      <c r="H81" s="21"/>
      <c r="I81" s="20"/>
    </row>
    <row r="82" spans="2:9" x14ac:dyDescent="0.2">
      <c r="B82" s="22">
        <v>46102</v>
      </c>
      <c r="C82" s="23" t="s">
        <v>550</v>
      </c>
      <c r="D82" s="23" t="s">
        <v>100</v>
      </c>
      <c r="E82" s="23" t="s">
        <v>597</v>
      </c>
      <c r="F82" s="25">
        <v>-119.73</v>
      </c>
      <c r="G82" s="23" t="s">
        <v>176</v>
      </c>
      <c r="H82" s="24"/>
      <c r="I82" s="23" t="s">
        <v>578</v>
      </c>
    </row>
    <row r="83" spans="2:9" x14ac:dyDescent="0.2">
      <c r="B83" s="19">
        <v>46102</v>
      </c>
      <c r="C83" s="20" t="s">
        <v>550</v>
      </c>
      <c r="D83" s="20" t="s">
        <v>101</v>
      </c>
      <c r="E83" s="20" t="s">
        <v>333</v>
      </c>
      <c r="F83" s="26">
        <v>-546.48</v>
      </c>
      <c r="G83" s="20" t="s">
        <v>176</v>
      </c>
      <c r="H83" s="21"/>
      <c r="I83" s="20" t="s">
        <v>578</v>
      </c>
    </row>
    <row r="84" spans="2:9" x14ac:dyDescent="0.2">
      <c r="B84" s="22">
        <v>46104</v>
      </c>
      <c r="C84" s="23" t="s">
        <v>550</v>
      </c>
      <c r="D84" s="23" t="s">
        <v>103</v>
      </c>
      <c r="E84" s="23" t="s">
        <v>598</v>
      </c>
      <c r="F84" s="25">
        <v>-107.5</v>
      </c>
      <c r="G84" s="23" t="s">
        <v>176</v>
      </c>
      <c r="H84" s="24"/>
      <c r="I84" s="23" t="s">
        <v>578</v>
      </c>
    </row>
    <row r="85" spans="2:9" x14ac:dyDescent="0.2">
      <c r="B85" s="19">
        <v>46107</v>
      </c>
      <c r="C85" s="20" t="s">
        <v>550</v>
      </c>
      <c r="D85" s="20" t="s">
        <v>103</v>
      </c>
      <c r="E85" s="20" t="s">
        <v>599</v>
      </c>
      <c r="F85" s="26">
        <v>-161</v>
      </c>
      <c r="G85" s="20" t="s">
        <v>176</v>
      </c>
      <c r="H85" s="21"/>
      <c r="I85" s="20" t="s">
        <v>578</v>
      </c>
    </row>
    <row r="86" spans="2:9" x14ac:dyDescent="0.2">
      <c r="B86" s="22">
        <v>46109</v>
      </c>
      <c r="C86" s="23" t="s">
        <v>550</v>
      </c>
      <c r="D86" s="23" t="s">
        <v>103</v>
      </c>
      <c r="E86" s="23" t="s">
        <v>600</v>
      </c>
      <c r="F86" s="25">
        <v>-168</v>
      </c>
      <c r="G86" s="23" t="s">
        <v>176</v>
      </c>
      <c r="H86" s="24"/>
      <c r="I86" s="23" t="s">
        <v>578</v>
      </c>
    </row>
    <row r="87" spans="2:9" x14ac:dyDescent="0.2">
      <c r="B87" s="19">
        <v>46109</v>
      </c>
      <c r="C87" s="20" t="s">
        <v>550</v>
      </c>
      <c r="D87" s="20" t="s">
        <v>103</v>
      </c>
      <c r="E87" s="20" t="s">
        <v>601</v>
      </c>
      <c r="F87" s="26">
        <v>-104</v>
      </c>
      <c r="G87" s="20" t="s">
        <v>176</v>
      </c>
      <c r="H87" s="21"/>
      <c r="I87" s="20" t="s">
        <v>578</v>
      </c>
    </row>
    <row r="88" spans="2:9" x14ac:dyDescent="0.2">
      <c r="B88" s="22">
        <v>46111</v>
      </c>
      <c r="C88" s="23" t="s">
        <v>550</v>
      </c>
      <c r="D88" s="23" t="s">
        <v>104</v>
      </c>
      <c r="E88" s="23" t="s">
        <v>602</v>
      </c>
      <c r="F88" s="25">
        <v>-81.36</v>
      </c>
      <c r="G88" s="23" t="s">
        <v>176</v>
      </c>
      <c r="H88" s="24"/>
      <c r="I88" s="23" t="s">
        <v>578</v>
      </c>
    </row>
    <row r="89" spans="2:9" x14ac:dyDescent="0.2">
      <c r="B89" s="19">
        <v>46111</v>
      </c>
      <c r="C89" s="20" t="s">
        <v>550</v>
      </c>
      <c r="D89" s="20" t="s">
        <v>108</v>
      </c>
      <c r="E89" s="20" t="s">
        <v>347</v>
      </c>
      <c r="F89" s="26">
        <v>-99.9</v>
      </c>
      <c r="G89" s="20" t="s">
        <v>176</v>
      </c>
      <c r="H89" s="21"/>
      <c r="I89" s="20" t="s">
        <v>578</v>
      </c>
    </row>
    <row r="90" spans="2:9" x14ac:dyDescent="0.2">
      <c r="B90" s="22">
        <v>46113</v>
      </c>
      <c r="C90" s="23" t="s">
        <v>550</v>
      </c>
      <c r="D90" s="23" t="s">
        <v>101</v>
      </c>
      <c r="E90" s="23" t="s">
        <v>603</v>
      </c>
      <c r="F90" s="25">
        <v>-111.81</v>
      </c>
      <c r="G90" s="23" t="s">
        <v>176</v>
      </c>
      <c r="H90" s="24"/>
      <c r="I90" s="23" t="s">
        <v>578</v>
      </c>
    </row>
    <row r="91" spans="2:9" x14ac:dyDescent="0.2">
      <c r="B91" s="19">
        <v>46115</v>
      </c>
      <c r="C91" s="20" t="s">
        <v>550</v>
      </c>
      <c r="D91" s="20" t="s">
        <v>106</v>
      </c>
      <c r="E91" s="20" t="s">
        <v>336</v>
      </c>
      <c r="F91" s="26">
        <v>-235.52</v>
      </c>
      <c r="G91" s="20" t="s">
        <v>176</v>
      </c>
      <c r="H91" s="21"/>
      <c r="I91" s="20" t="s">
        <v>578</v>
      </c>
    </row>
    <row r="92" spans="2:9" x14ac:dyDescent="0.2">
      <c r="B92" s="22">
        <v>46115</v>
      </c>
      <c r="C92" s="23" t="s">
        <v>550</v>
      </c>
      <c r="D92" s="23" t="s">
        <v>103</v>
      </c>
      <c r="E92" s="23" t="s">
        <v>344</v>
      </c>
      <c r="F92" s="25">
        <v>-336</v>
      </c>
      <c r="G92" s="23" t="s">
        <v>176</v>
      </c>
      <c r="H92" s="24"/>
      <c r="I92" s="23" t="s">
        <v>578</v>
      </c>
    </row>
    <row r="93" spans="2:9" x14ac:dyDescent="0.2">
      <c r="B93" s="19">
        <v>46115</v>
      </c>
      <c r="C93" s="20" t="s">
        <v>550</v>
      </c>
      <c r="D93" s="20" t="s">
        <v>109</v>
      </c>
      <c r="E93" s="20" t="s">
        <v>604</v>
      </c>
      <c r="F93" s="26">
        <v>-165.69</v>
      </c>
      <c r="G93" s="20" t="s">
        <v>176</v>
      </c>
      <c r="H93" s="21"/>
      <c r="I93" s="20" t="s">
        <v>578</v>
      </c>
    </row>
    <row r="94" spans="2:9" x14ac:dyDescent="0.2">
      <c r="B94" s="22">
        <v>46115</v>
      </c>
      <c r="C94" s="23" t="s">
        <v>550</v>
      </c>
      <c r="D94" s="23" t="s">
        <v>100</v>
      </c>
      <c r="E94" s="23" t="s">
        <v>332</v>
      </c>
      <c r="F94" s="25">
        <v>-602.9</v>
      </c>
      <c r="G94" s="23" t="s">
        <v>176</v>
      </c>
      <c r="H94" s="24"/>
      <c r="I94" s="23" t="s">
        <v>578</v>
      </c>
    </row>
    <row r="95" spans="2:9" x14ac:dyDescent="0.2">
      <c r="B95" s="19">
        <v>46116</v>
      </c>
      <c r="C95" s="20" t="s">
        <v>550</v>
      </c>
      <c r="D95" s="20" t="s">
        <v>103</v>
      </c>
      <c r="E95" s="20" t="s">
        <v>605</v>
      </c>
      <c r="F95" s="26">
        <v>-89.5</v>
      </c>
      <c r="G95" s="20" t="s">
        <v>176</v>
      </c>
      <c r="H95" s="21"/>
      <c r="I95" s="20" t="s">
        <v>578</v>
      </c>
    </row>
    <row r="96" spans="2:9" x14ac:dyDescent="0.2">
      <c r="B96" s="22">
        <v>46117</v>
      </c>
      <c r="C96" s="23" t="s">
        <v>550</v>
      </c>
      <c r="D96" s="23" t="s">
        <v>101</v>
      </c>
      <c r="E96" s="23" t="s">
        <v>553</v>
      </c>
      <c r="F96" s="25">
        <v>-107.02</v>
      </c>
      <c r="G96" s="23" t="s">
        <v>176</v>
      </c>
      <c r="H96" s="24"/>
      <c r="I96" s="23" t="s">
        <v>606</v>
      </c>
    </row>
    <row r="97" spans="2:9" x14ac:dyDescent="0.2">
      <c r="B97" s="19">
        <v>46120</v>
      </c>
      <c r="C97" s="20" t="s">
        <v>550</v>
      </c>
      <c r="D97" s="20" t="s">
        <v>108</v>
      </c>
      <c r="E97" s="20" t="s">
        <v>347</v>
      </c>
      <c r="F97" s="26">
        <v>-21.9</v>
      </c>
      <c r="G97" s="20" t="s">
        <v>176</v>
      </c>
      <c r="H97" s="21"/>
      <c r="I97" s="20" t="s">
        <v>606</v>
      </c>
    </row>
    <row r="98" spans="2:9" x14ac:dyDescent="0.2">
      <c r="B98" s="22">
        <v>46120</v>
      </c>
      <c r="C98" s="23" t="s">
        <v>550</v>
      </c>
      <c r="D98" s="23" t="s">
        <v>101</v>
      </c>
      <c r="E98" s="23" t="s">
        <v>581</v>
      </c>
      <c r="F98" s="25">
        <v>-53.41</v>
      </c>
      <c r="G98" s="23" t="s">
        <v>176</v>
      </c>
      <c r="H98" s="24"/>
      <c r="I98" s="23" t="s">
        <v>606</v>
      </c>
    </row>
    <row r="99" spans="2:9" x14ac:dyDescent="0.2">
      <c r="B99" s="19">
        <v>46122</v>
      </c>
      <c r="C99" s="20" t="s">
        <v>550</v>
      </c>
      <c r="D99" s="20" t="s">
        <v>108</v>
      </c>
      <c r="E99" s="20" t="s">
        <v>347</v>
      </c>
      <c r="F99" s="26">
        <v>-19.899999999999999</v>
      </c>
      <c r="G99" s="20" t="s">
        <v>176</v>
      </c>
      <c r="H99" s="21"/>
      <c r="I99" s="20" t="s">
        <v>606</v>
      </c>
    </row>
    <row r="100" spans="2:9" x14ac:dyDescent="0.2">
      <c r="B100" s="22">
        <v>46123</v>
      </c>
      <c r="C100" s="23" t="s">
        <v>550</v>
      </c>
      <c r="D100" s="23" t="s">
        <v>109</v>
      </c>
      <c r="E100" s="23" t="s">
        <v>584</v>
      </c>
      <c r="F100" s="25">
        <v>-7.95</v>
      </c>
      <c r="G100" s="23" t="s">
        <v>176</v>
      </c>
      <c r="H100" s="24"/>
      <c r="I100" s="23" t="s">
        <v>606</v>
      </c>
    </row>
    <row r="101" spans="2:9" x14ac:dyDescent="0.2">
      <c r="B101" s="19">
        <v>46128</v>
      </c>
      <c r="C101" s="20" t="s">
        <v>550</v>
      </c>
      <c r="D101" s="20" t="s">
        <v>103</v>
      </c>
      <c r="E101" s="20" t="s">
        <v>607</v>
      </c>
      <c r="F101" s="26">
        <v>-168</v>
      </c>
      <c r="G101" s="20" t="s">
        <v>176</v>
      </c>
      <c r="H101" s="21"/>
      <c r="I101" s="20" t="s">
        <v>606</v>
      </c>
    </row>
    <row r="102" spans="2:9" x14ac:dyDescent="0.2">
      <c r="B102" s="22">
        <v>46128</v>
      </c>
      <c r="C102" s="23" t="s">
        <v>550</v>
      </c>
      <c r="D102" s="23" t="s">
        <v>103</v>
      </c>
      <c r="E102" s="23" t="s">
        <v>608</v>
      </c>
      <c r="F102" s="25">
        <v>-100.5</v>
      </c>
      <c r="G102" s="23" t="s">
        <v>176</v>
      </c>
      <c r="H102" s="24"/>
      <c r="I102" s="23" t="s">
        <v>606</v>
      </c>
    </row>
    <row r="103" spans="2:9" x14ac:dyDescent="0.2">
      <c r="B103" s="19">
        <v>46128</v>
      </c>
      <c r="C103" s="20" t="s">
        <v>550</v>
      </c>
      <c r="D103" s="20" t="s">
        <v>100</v>
      </c>
      <c r="E103" s="20" t="s">
        <v>609</v>
      </c>
      <c r="F103" s="26">
        <v>-72.89</v>
      </c>
      <c r="G103" s="20" t="s">
        <v>176</v>
      </c>
      <c r="H103" s="21"/>
      <c r="I103" s="20" t="s">
        <v>606</v>
      </c>
    </row>
    <row r="104" spans="2:9" x14ac:dyDescent="0.2">
      <c r="B104" s="22">
        <v>46129</v>
      </c>
      <c r="C104" s="23" t="s">
        <v>550</v>
      </c>
      <c r="D104" s="23" t="s">
        <v>101</v>
      </c>
      <c r="E104" s="23" t="s">
        <v>553</v>
      </c>
      <c r="F104" s="25">
        <v>-103.5</v>
      </c>
      <c r="G104" s="23" t="s">
        <v>176</v>
      </c>
      <c r="H104" s="24"/>
      <c r="I104" s="23" t="s">
        <v>606</v>
      </c>
    </row>
    <row r="105" spans="2:9" x14ac:dyDescent="0.2">
      <c r="B105" s="19">
        <v>46132</v>
      </c>
      <c r="C105" s="20" t="s">
        <v>550</v>
      </c>
      <c r="D105" s="20" t="s">
        <v>109</v>
      </c>
      <c r="E105" s="20" t="s">
        <v>610</v>
      </c>
      <c r="F105" s="26">
        <v>-74.88</v>
      </c>
      <c r="G105" s="20" t="s">
        <v>176</v>
      </c>
      <c r="H105" s="21"/>
      <c r="I105" s="20" t="s">
        <v>606</v>
      </c>
    </row>
    <row r="106" spans="2:9" x14ac:dyDescent="0.2">
      <c r="B106" s="22">
        <v>46132</v>
      </c>
      <c r="C106" s="23" t="s">
        <v>550</v>
      </c>
      <c r="D106" s="23" t="s">
        <v>104</v>
      </c>
      <c r="E106" s="23" t="s">
        <v>340</v>
      </c>
      <c r="F106" s="25">
        <v>-509</v>
      </c>
      <c r="G106" s="23" t="s">
        <v>176</v>
      </c>
      <c r="H106" s="24"/>
      <c r="I106" s="23" t="s">
        <v>606</v>
      </c>
    </row>
    <row r="107" spans="2:9" x14ac:dyDescent="0.2">
      <c r="B107" s="19">
        <v>46133</v>
      </c>
      <c r="C107" s="20" t="s">
        <v>550</v>
      </c>
      <c r="D107" s="20" t="s">
        <v>100</v>
      </c>
      <c r="E107" s="20" t="s">
        <v>611</v>
      </c>
      <c r="F107" s="26">
        <v>-111.83</v>
      </c>
      <c r="G107" s="20" t="s">
        <v>176</v>
      </c>
      <c r="H107" s="21"/>
      <c r="I107" s="20" t="s">
        <v>606</v>
      </c>
    </row>
    <row r="108" spans="2:9" x14ac:dyDescent="0.2">
      <c r="B108" s="22">
        <v>46133</v>
      </c>
      <c r="C108" s="23" t="s">
        <v>550</v>
      </c>
      <c r="D108" s="23" t="s">
        <v>101</v>
      </c>
      <c r="E108" s="23" t="s">
        <v>333</v>
      </c>
      <c r="F108" s="25">
        <v>-515.42999999999995</v>
      </c>
      <c r="G108" s="23" t="s">
        <v>176</v>
      </c>
      <c r="H108" s="24"/>
      <c r="I108" s="23" t="s">
        <v>606</v>
      </c>
    </row>
    <row r="109" spans="2:9" x14ac:dyDescent="0.2">
      <c r="B109" s="19">
        <v>46133</v>
      </c>
      <c r="C109" s="20" t="s">
        <v>59</v>
      </c>
      <c r="D109" s="20" t="s">
        <v>10</v>
      </c>
      <c r="E109" s="20" t="s">
        <v>364</v>
      </c>
      <c r="F109" s="26">
        <v>-3000</v>
      </c>
      <c r="G109" s="20" t="s">
        <v>176</v>
      </c>
      <c r="H109" s="21"/>
      <c r="I109" s="20"/>
    </row>
    <row r="110" spans="2:9" x14ac:dyDescent="0.2">
      <c r="B110" s="22">
        <v>46134</v>
      </c>
      <c r="C110" s="23" t="s">
        <v>550</v>
      </c>
      <c r="D110" s="23" t="s">
        <v>104</v>
      </c>
      <c r="E110" s="23" t="s">
        <v>555</v>
      </c>
      <c r="F110" s="25">
        <v>-201.72</v>
      </c>
      <c r="G110" s="23" t="s">
        <v>176</v>
      </c>
      <c r="H110" s="24"/>
      <c r="I110" s="23" t="s">
        <v>606</v>
      </c>
    </row>
    <row r="111" spans="2:9" x14ac:dyDescent="0.2">
      <c r="B111" s="19">
        <v>46135</v>
      </c>
      <c r="C111" s="20" t="s">
        <v>550</v>
      </c>
      <c r="D111" s="20" t="s">
        <v>101</v>
      </c>
      <c r="E111" s="20" t="s">
        <v>612</v>
      </c>
      <c r="F111" s="26">
        <v>-107.61</v>
      </c>
      <c r="G111" s="20" t="s">
        <v>176</v>
      </c>
      <c r="H111" s="21"/>
      <c r="I111" s="20" t="s">
        <v>606</v>
      </c>
    </row>
    <row r="112" spans="2:9" x14ac:dyDescent="0.2">
      <c r="B112" s="22">
        <v>46135</v>
      </c>
      <c r="C112" s="23" t="s">
        <v>550</v>
      </c>
      <c r="D112" s="23" t="s">
        <v>110</v>
      </c>
      <c r="E112" s="23" t="s">
        <v>613</v>
      </c>
      <c r="F112" s="25">
        <v>-8.14</v>
      </c>
      <c r="G112" s="23" t="s">
        <v>176</v>
      </c>
      <c r="H112" s="24"/>
      <c r="I112" s="23" t="s">
        <v>606</v>
      </c>
    </row>
    <row r="113" spans="2:9" x14ac:dyDescent="0.2">
      <c r="B113" s="19">
        <v>46135</v>
      </c>
      <c r="C113" s="20" t="s">
        <v>550</v>
      </c>
      <c r="D113" s="20" t="s">
        <v>103</v>
      </c>
      <c r="E113" s="20" t="s">
        <v>345</v>
      </c>
      <c r="F113" s="26">
        <v>-336</v>
      </c>
      <c r="G113" s="20" t="s">
        <v>176</v>
      </c>
      <c r="H113" s="21"/>
      <c r="I113" s="20" t="s">
        <v>606</v>
      </c>
    </row>
    <row r="114" spans="2:9" x14ac:dyDescent="0.2">
      <c r="B114" s="22">
        <v>46136</v>
      </c>
      <c r="C114" s="23" t="s">
        <v>550</v>
      </c>
      <c r="D114" s="23" t="s">
        <v>108</v>
      </c>
      <c r="E114" s="23" t="s">
        <v>614</v>
      </c>
      <c r="F114" s="25">
        <v>-31.9</v>
      </c>
      <c r="G114" s="23" t="s">
        <v>176</v>
      </c>
      <c r="H114" s="24"/>
      <c r="I114" s="23" t="s">
        <v>606</v>
      </c>
    </row>
    <row r="115" spans="2:9" x14ac:dyDescent="0.2">
      <c r="B115" s="19">
        <v>46136</v>
      </c>
      <c r="C115" s="20" t="s">
        <v>550</v>
      </c>
      <c r="D115" s="20" t="s">
        <v>110</v>
      </c>
      <c r="E115" s="20" t="s">
        <v>613</v>
      </c>
      <c r="F115" s="26">
        <v>-9.9600000000000009</v>
      </c>
      <c r="G115" s="20" t="s">
        <v>176</v>
      </c>
      <c r="H115" s="21"/>
      <c r="I115" s="20" t="s">
        <v>606</v>
      </c>
    </row>
    <row r="116" spans="2:9" x14ac:dyDescent="0.2">
      <c r="B116" s="22">
        <v>46136</v>
      </c>
      <c r="C116" s="23" t="s">
        <v>59</v>
      </c>
      <c r="D116" s="23" t="s">
        <v>10</v>
      </c>
      <c r="E116" s="23" t="s">
        <v>615</v>
      </c>
      <c r="F116" s="25">
        <v>-6800</v>
      </c>
      <c r="G116" s="23" t="s">
        <v>176</v>
      </c>
      <c r="H116" s="24"/>
      <c r="I116" s="23"/>
    </row>
    <row r="117" spans="2:9" x14ac:dyDescent="0.2">
      <c r="B117" s="19">
        <v>46137</v>
      </c>
      <c r="C117" s="20" t="s">
        <v>550</v>
      </c>
      <c r="D117" s="20" t="s">
        <v>103</v>
      </c>
      <c r="E117" s="20" t="s">
        <v>616</v>
      </c>
      <c r="F117" s="26">
        <v>-168</v>
      </c>
      <c r="G117" s="20" t="s">
        <v>176</v>
      </c>
      <c r="H117" s="21"/>
      <c r="I117" s="20" t="s">
        <v>606</v>
      </c>
    </row>
    <row r="118" spans="2:9" x14ac:dyDescent="0.2">
      <c r="B118" s="22">
        <v>46139</v>
      </c>
      <c r="C118" s="23" t="s">
        <v>550</v>
      </c>
      <c r="D118" s="23" t="s">
        <v>101</v>
      </c>
      <c r="E118" s="23" t="s">
        <v>617</v>
      </c>
      <c r="F118" s="25">
        <v>-103.71</v>
      </c>
      <c r="G118" s="23" t="s">
        <v>176</v>
      </c>
      <c r="H118" s="24"/>
      <c r="I118" s="23" t="s">
        <v>606</v>
      </c>
    </row>
    <row r="119" spans="2:9" x14ac:dyDescent="0.2">
      <c r="B119" s="19">
        <v>46139</v>
      </c>
      <c r="C119" s="20" t="s">
        <v>550</v>
      </c>
      <c r="D119" s="20" t="s">
        <v>100</v>
      </c>
      <c r="E119" s="20" t="s">
        <v>618</v>
      </c>
      <c r="F119" s="26">
        <v>-106.98</v>
      </c>
      <c r="G119" s="20" t="s">
        <v>176</v>
      </c>
      <c r="H119" s="21"/>
      <c r="I119" s="20" t="s">
        <v>606</v>
      </c>
    </row>
    <row r="120" spans="2:9" x14ac:dyDescent="0.2">
      <c r="B120" s="22">
        <v>46139</v>
      </c>
      <c r="C120" s="23" t="s">
        <v>550</v>
      </c>
      <c r="D120" s="23" t="s">
        <v>100</v>
      </c>
      <c r="E120" s="23" t="s">
        <v>341</v>
      </c>
      <c r="F120" s="25">
        <v>-483.98</v>
      </c>
      <c r="G120" s="23" t="s">
        <v>176</v>
      </c>
      <c r="H120" s="24"/>
      <c r="I120" s="23" t="s">
        <v>606</v>
      </c>
    </row>
    <row r="121" spans="2:9" x14ac:dyDescent="0.2">
      <c r="B121" s="19">
        <v>46139</v>
      </c>
      <c r="C121" s="20" t="s">
        <v>550</v>
      </c>
      <c r="D121" s="20" t="s">
        <v>109</v>
      </c>
      <c r="E121" s="20" t="s">
        <v>619</v>
      </c>
      <c r="F121" s="26">
        <v>-92.89</v>
      </c>
      <c r="G121" s="20" t="s">
        <v>176</v>
      </c>
      <c r="H121" s="21"/>
      <c r="I121" s="20" t="s">
        <v>606</v>
      </c>
    </row>
    <row r="122" spans="2:9" x14ac:dyDescent="0.2">
      <c r="B122" s="22">
        <v>46140</v>
      </c>
      <c r="C122" s="23" t="s">
        <v>59</v>
      </c>
      <c r="D122" s="23" t="s">
        <v>10</v>
      </c>
      <c r="E122" s="23" t="s">
        <v>620</v>
      </c>
      <c r="F122" s="25">
        <v>-50</v>
      </c>
      <c r="G122" s="23" t="s">
        <v>176</v>
      </c>
      <c r="H122" s="24"/>
      <c r="I122" s="23"/>
    </row>
    <row r="123" spans="2:9" x14ac:dyDescent="0.2">
      <c r="B123" s="19">
        <v>46140</v>
      </c>
      <c r="C123" s="20" t="s">
        <v>59</v>
      </c>
      <c r="D123" s="20" t="s">
        <v>10</v>
      </c>
      <c r="E123" s="20" t="s">
        <v>621</v>
      </c>
      <c r="F123" s="26">
        <v>-10</v>
      </c>
      <c r="G123" s="20" t="s">
        <v>176</v>
      </c>
      <c r="H123" s="21"/>
      <c r="I123" s="20"/>
    </row>
    <row r="124" spans="2:9" x14ac:dyDescent="0.2">
      <c r="B124" s="22">
        <v>46140</v>
      </c>
      <c r="C124" s="23" t="s">
        <v>59</v>
      </c>
      <c r="D124" s="23" t="s">
        <v>10</v>
      </c>
      <c r="E124" s="23" t="s">
        <v>596</v>
      </c>
      <c r="F124" s="25">
        <v>-470</v>
      </c>
      <c r="G124" s="23" t="s">
        <v>176</v>
      </c>
      <c r="H124" s="24"/>
      <c r="I124" s="23"/>
    </row>
    <row r="125" spans="2:9" x14ac:dyDescent="0.2">
      <c r="B125" s="19">
        <v>46142</v>
      </c>
      <c r="C125" s="20" t="s">
        <v>550</v>
      </c>
      <c r="D125" s="20" t="s">
        <v>101</v>
      </c>
      <c r="E125" s="20" t="s">
        <v>617</v>
      </c>
      <c r="F125" s="26">
        <v>-155.25</v>
      </c>
      <c r="G125" s="20" t="s">
        <v>176</v>
      </c>
      <c r="H125" s="21"/>
      <c r="I125" s="20" t="s">
        <v>606</v>
      </c>
    </row>
    <row r="126" spans="2:9" x14ac:dyDescent="0.2">
      <c r="B126" s="22">
        <v>46142</v>
      </c>
      <c r="C126" s="23" t="s">
        <v>550</v>
      </c>
      <c r="D126" s="23" t="s">
        <v>108</v>
      </c>
      <c r="E126" s="23" t="s">
        <v>614</v>
      </c>
      <c r="F126" s="25">
        <v>-99.9</v>
      </c>
      <c r="G126" s="23" t="s">
        <v>176</v>
      </c>
      <c r="H126" s="24"/>
      <c r="I126" s="23" t="s">
        <v>606</v>
      </c>
    </row>
    <row r="127" spans="2:9" x14ac:dyDescent="0.2">
      <c r="B127" s="19">
        <v>46142</v>
      </c>
      <c r="C127" s="20" t="s">
        <v>550</v>
      </c>
      <c r="D127" s="20" t="s">
        <v>110</v>
      </c>
      <c r="E127" s="20" t="s">
        <v>613</v>
      </c>
      <c r="F127" s="26">
        <v>-16.77</v>
      </c>
      <c r="G127" s="20" t="s">
        <v>176</v>
      </c>
      <c r="H127" s="21"/>
      <c r="I127" s="20" t="s">
        <v>606</v>
      </c>
    </row>
    <row r="128" spans="2:9" x14ac:dyDescent="0.2">
      <c r="B128" s="22">
        <v>46143</v>
      </c>
      <c r="C128" s="23" t="s">
        <v>550</v>
      </c>
      <c r="D128" s="23" t="s">
        <v>101</v>
      </c>
      <c r="E128" s="23" t="s">
        <v>603</v>
      </c>
      <c r="F128" s="25">
        <v>-111.81</v>
      </c>
      <c r="G128" s="23" t="s">
        <v>176</v>
      </c>
      <c r="H128" s="24"/>
      <c r="I128" s="23" t="s">
        <v>606</v>
      </c>
    </row>
    <row r="129" spans="2:9" x14ac:dyDescent="0.2">
      <c r="B129" s="19">
        <v>46143</v>
      </c>
      <c r="C129" s="20" t="s">
        <v>550</v>
      </c>
      <c r="D129" s="20" t="s">
        <v>101</v>
      </c>
      <c r="E129" s="20" t="s">
        <v>622</v>
      </c>
      <c r="F129" s="26">
        <v>-206.59</v>
      </c>
      <c r="G129" s="20" t="s">
        <v>176</v>
      </c>
      <c r="H129" s="21"/>
      <c r="I129" s="20" t="s">
        <v>606</v>
      </c>
    </row>
    <row r="130" spans="2:9" x14ac:dyDescent="0.2">
      <c r="B130" s="22">
        <v>46144</v>
      </c>
      <c r="C130" s="23" t="s">
        <v>550</v>
      </c>
      <c r="D130" s="23" t="s">
        <v>109</v>
      </c>
      <c r="E130" s="23" t="s">
        <v>619</v>
      </c>
      <c r="F130" s="25">
        <v>-96.99</v>
      </c>
      <c r="G130" s="23" t="s">
        <v>176</v>
      </c>
      <c r="H130" s="24"/>
      <c r="I130" s="23" t="s">
        <v>606</v>
      </c>
    </row>
    <row r="131" spans="2:9" x14ac:dyDescent="0.2">
      <c r="B131" s="19">
        <v>46145</v>
      </c>
      <c r="C131" s="20" t="s">
        <v>550</v>
      </c>
      <c r="D131" s="20" t="s">
        <v>106</v>
      </c>
      <c r="E131" s="20" t="s">
        <v>336</v>
      </c>
      <c r="F131" s="26">
        <v>-235.52</v>
      </c>
      <c r="G131" s="20" t="s">
        <v>176</v>
      </c>
      <c r="H131" s="21"/>
      <c r="I131" s="20" t="s">
        <v>606</v>
      </c>
    </row>
    <row r="132" spans="2:9" x14ac:dyDescent="0.2">
      <c r="B132" s="22">
        <v>46147</v>
      </c>
      <c r="C132" s="23" t="s">
        <v>550</v>
      </c>
      <c r="D132" s="23" t="s">
        <v>110</v>
      </c>
      <c r="E132" s="23" t="s">
        <v>613</v>
      </c>
      <c r="F132" s="25">
        <v>-29.97</v>
      </c>
      <c r="G132" s="23" t="s">
        <v>176</v>
      </c>
      <c r="H132" s="24"/>
      <c r="I132" s="23" t="s">
        <v>623</v>
      </c>
    </row>
    <row r="133" spans="2:9" x14ac:dyDescent="0.2">
      <c r="B133" s="19">
        <v>46147</v>
      </c>
      <c r="C133" s="20" t="s">
        <v>550</v>
      </c>
      <c r="D133" s="20" t="s">
        <v>110</v>
      </c>
      <c r="E133" s="20" t="s">
        <v>613</v>
      </c>
      <c r="F133" s="26">
        <v>-25.93</v>
      </c>
      <c r="G133" s="20" t="s">
        <v>176</v>
      </c>
      <c r="H133" s="21"/>
      <c r="I133" s="20" t="s">
        <v>623</v>
      </c>
    </row>
    <row r="134" spans="2:9" x14ac:dyDescent="0.2">
      <c r="B134" s="22">
        <v>46147</v>
      </c>
      <c r="C134" s="23" t="s">
        <v>550</v>
      </c>
      <c r="D134" s="23" t="s">
        <v>103</v>
      </c>
      <c r="E134" s="23" t="s">
        <v>624</v>
      </c>
      <c r="F134" s="25">
        <v>-248</v>
      </c>
      <c r="G134" s="23" t="s">
        <v>176</v>
      </c>
      <c r="H134" s="24"/>
      <c r="I134" s="23" t="s">
        <v>623</v>
      </c>
    </row>
    <row r="135" spans="2:9" x14ac:dyDescent="0.2">
      <c r="B135" s="19">
        <v>46148</v>
      </c>
      <c r="C135" s="20" t="s">
        <v>550</v>
      </c>
      <c r="D135" s="20" t="s">
        <v>101</v>
      </c>
      <c r="E135" s="20" t="s">
        <v>553</v>
      </c>
      <c r="F135" s="26">
        <v>-101.85</v>
      </c>
      <c r="G135" s="20" t="s">
        <v>176</v>
      </c>
      <c r="H135" s="21"/>
      <c r="I135" s="20" t="s">
        <v>623</v>
      </c>
    </row>
    <row r="136" spans="2:9" x14ac:dyDescent="0.2">
      <c r="B136" s="22">
        <v>46150</v>
      </c>
      <c r="C136" s="23" t="s">
        <v>550</v>
      </c>
      <c r="D136" s="23" t="s">
        <v>101</v>
      </c>
      <c r="E136" s="23" t="s">
        <v>581</v>
      </c>
      <c r="F136" s="25">
        <v>-50.93</v>
      </c>
      <c r="G136" s="23" t="s">
        <v>176</v>
      </c>
      <c r="H136" s="24"/>
      <c r="I136" s="23" t="s">
        <v>623</v>
      </c>
    </row>
    <row r="137" spans="2:9" x14ac:dyDescent="0.2">
      <c r="B137" s="19">
        <v>46151</v>
      </c>
      <c r="C137" s="20" t="s">
        <v>550</v>
      </c>
      <c r="D137" s="20" t="s">
        <v>103</v>
      </c>
      <c r="E137" s="20" t="s">
        <v>625</v>
      </c>
      <c r="F137" s="26">
        <v>-151</v>
      </c>
      <c r="G137" s="20" t="s">
        <v>176</v>
      </c>
      <c r="H137" s="21"/>
      <c r="I137" s="20" t="s">
        <v>623</v>
      </c>
    </row>
    <row r="138" spans="2:9" x14ac:dyDescent="0.2">
      <c r="B138" s="22">
        <v>46152</v>
      </c>
      <c r="C138" s="23" t="s">
        <v>550</v>
      </c>
      <c r="D138" s="23" t="s">
        <v>108</v>
      </c>
      <c r="E138" s="23" t="s">
        <v>348</v>
      </c>
      <c r="F138" s="25">
        <v>-19.899999999999999</v>
      </c>
      <c r="G138" s="23" t="s">
        <v>176</v>
      </c>
      <c r="H138" s="24"/>
      <c r="I138" s="23" t="s">
        <v>623</v>
      </c>
    </row>
    <row r="139" spans="2:9" x14ac:dyDescent="0.2">
      <c r="B139" s="19">
        <v>46153</v>
      </c>
      <c r="C139" s="20" t="s">
        <v>550</v>
      </c>
      <c r="D139" s="20" t="s">
        <v>109</v>
      </c>
      <c r="E139" s="20" t="s">
        <v>584</v>
      </c>
      <c r="F139" s="26">
        <v>-7.95</v>
      </c>
      <c r="G139" s="20" t="s">
        <v>176</v>
      </c>
      <c r="H139" s="21"/>
      <c r="I139" s="20" t="s">
        <v>623</v>
      </c>
    </row>
    <row r="140" spans="2:9" x14ac:dyDescent="0.2">
      <c r="B140" s="22">
        <v>46158</v>
      </c>
      <c r="C140" s="23" t="s">
        <v>550</v>
      </c>
      <c r="D140" s="23" t="s">
        <v>101</v>
      </c>
      <c r="E140" s="23" t="s">
        <v>617</v>
      </c>
      <c r="F140" s="25">
        <v>-78.72</v>
      </c>
      <c r="G140" s="23" t="s">
        <v>176</v>
      </c>
      <c r="H140" s="24"/>
      <c r="I140" s="23" t="s">
        <v>623</v>
      </c>
    </row>
    <row r="141" spans="2:9" x14ac:dyDescent="0.2">
      <c r="B141" s="19">
        <v>46158</v>
      </c>
      <c r="C141" s="20" t="s">
        <v>550</v>
      </c>
      <c r="D141" s="20" t="s">
        <v>109</v>
      </c>
      <c r="E141" s="20" t="s">
        <v>626</v>
      </c>
      <c r="F141" s="26">
        <v>-73.03</v>
      </c>
      <c r="G141" s="20" t="s">
        <v>176</v>
      </c>
      <c r="H141" s="21"/>
      <c r="I141" s="20" t="s">
        <v>623</v>
      </c>
    </row>
    <row r="142" spans="2:9" x14ac:dyDescent="0.2">
      <c r="B142" s="22">
        <v>46159</v>
      </c>
      <c r="C142" s="23" t="s">
        <v>550</v>
      </c>
      <c r="D142" s="23" t="s">
        <v>101</v>
      </c>
      <c r="E142" s="23" t="s">
        <v>553</v>
      </c>
      <c r="F142" s="25">
        <v>-104.95</v>
      </c>
      <c r="G142" s="23" t="s">
        <v>176</v>
      </c>
      <c r="H142" s="24"/>
      <c r="I142" s="23" t="s">
        <v>623</v>
      </c>
    </row>
    <row r="143" spans="2:9" x14ac:dyDescent="0.2">
      <c r="B143" s="19">
        <v>46160</v>
      </c>
      <c r="C143" s="20" t="s">
        <v>550</v>
      </c>
      <c r="D143" s="20" t="s">
        <v>101</v>
      </c>
      <c r="E143" s="20" t="s">
        <v>612</v>
      </c>
      <c r="F143" s="26">
        <v>-83.44</v>
      </c>
      <c r="G143" s="20" t="s">
        <v>176</v>
      </c>
      <c r="H143" s="21"/>
      <c r="I143" s="20" t="s">
        <v>623</v>
      </c>
    </row>
    <row r="144" spans="2:9" x14ac:dyDescent="0.2">
      <c r="B144" s="22">
        <v>46160</v>
      </c>
      <c r="C144" s="23" t="s">
        <v>550</v>
      </c>
      <c r="D144" s="23" t="s">
        <v>103</v>
      </c>
      <c r="E144" s="23" t="s">
        <v>627</v>
      </c>
      <c r="F144" s="25">
        <v>-146</v>
      </c>
      <c r="G144" s="23" t="s">
        <v>176</v>
      </c>
      <c r="H144" s="24"/>
      <c r="I144" s="23" t="s">
        <v>623</v>
      </c>
    </row>
    <row r="145" spans="2:9" x14ac:dyDescent="0.2">
      <c r="B145" s="19">
        <v>46160</v>
      </c>
      <c r="C145" s="20" t="s">
        <v>59</v>
      </c>
      <c r="D145" s="20" t="s">
        <v>10</v>
      </c>
      <c r="E145" s="20" t="s">
        <v>360</v>
      </c>
      <c r="F145" s="26">
        <v>-20000</v>
      </c>
      <c r="G145" s="20" t="s">
        <v>176</v>
      </c>
      <c r="H145" s="21"/>
      <c r="I145" s="20"/>
    </row>
    <row r="146" spans="2:9" x14ac:dyDescent="0.2">
      <c r="B146" s="22">
        <v>46161</v>
      </c>
      <c r="C146" s="23" t="s">
        <v>550</v>
      </c>
      <c r="D146" s="23" t="s">
        <v>109</v>
      </c>
      <c r="E146" s="23" t="s">
        <v>628</v>
      </c>
      <c r="F146" s="25">
        <v>-67.31</v>
      </c>
      <c r="G146" s="23" t="s">
        <v>176</v>
      </c>
      <c r="H146" s="24"/>
      <c r="I146" s="23" t="s">
        <v>623</v>
      </c>
    </row>
    <row r="147" spans="2:9" x14ac:dyDescent="0.2">
      <c r="B147" s="19">
        <v>46161</v>
      </c>
      <c r="C147" s="20" t="s">
        <v>550</v>
      </c>
      <c r="D147" s="20" t="s">
        <v>108</v>
      </c>
      <c r="E147" s="20" t="s">
        <v>350</v>
      </c>
      <c r="F147" s="26">
        <v>-269</v>
      </c>
      <c r="G147" s="20" t="s">
        <v>176</v>
      </c>
      <c r="H147" s="21"/>
      <c r="I147" s="20" t="s">
        <v>623</v>
      </c>
    </row>
    <row r="148" spans="2:9" x14ac:dyDescent="0.2">
      <c r="B148" s="22">
        <v>46161</v>
      </c>
      <c r="C148" s="23" t="s">
        <v>550</v>
      </c>
      <c r="D148" s="23" t="s">
        <v>103</v>
      </c>
      <c r="E148" s="23" t="s">
        <v>629</v>
      </c>
      <c r="F148" s="25">
        <v>-120</v>
      </c>
      <c r="G148" s="23" t="s">
        <v>176</v>
      </c>
      <c r="H148" s="24"/>
      <c r="I148" s="23" t="s">
        <v>623</v>
      </c>
    </row>
    <row r="149" spans="2:9" x14ac:dyDescent="0.2">
      <c r="B149" s="19">
        <v>46162</v>
      </c>
      <c r="C149" s="20" t="s">
        <v>550</v>
      </c>
      <c r="D149" s="20" t="s">
        <v>101</v>
      </c>
      <c r="E149" s="20" t="s">
        <v>622</v>
      </c>
      <c r="F149" s="26">
        <v>-208.66</v>
      </c>
      <c r="G149" s="20" t="s">
        <v>176</v>
      </c>
      <c r="H149" s="21"/>
      <c r="I149" s="20" t="s">
        <v>623</v>
      </c>
    </row>
    <row r="150" spans="2:9" x14ac:dyDescent="0.2">
      <c r="B150" s="22">
        <v>46164</v>
      </c>
      <c r="C150" s="23" t="s">
        <v>550</v>
      </c>
      <c r="D150" s="23" t="s">
        <v>103</v>
      </c>
      <c r="E150" s="23" t="s">
        <v>630</v>
      </c>
      <c r="F150" s="25">
        <v>-210</v>
      </c>
      <c r="G150" s="23" t="s">
        <v>176</v>
      </c>
      <c r="H150" s="24"/>
      <c r="I150" s="23" t="s">
        <v>623</v>
      </c>
    </row>
    <row r="151" spans="2:9" x14ac:dyDescent="0.2">
      <c r="B151" s="19">
        <v>46164</v>
      </c>
      <c r="C151" s="20" t="s">
        <v>59</v>
      </c>
      <c r="D151" s="20" t="s">
        <v>10</v>
      </c>
      <c r="E151" s="20" t="s">
        <v>631</v>
      </c>
      <c r="F151" s="26">
        <v>-1500</v>
      </c>
      <c r="G151" s="20" t="s">
        <v>176</v>
      </c>
      <c r="H151" s="21"/>
      <c r="I151" s="20"/>
    </row>
    <row r="152" spans="2:9" x14ac:dyDescent="0.2">
      <c r="B152" s="22">
        <v>46164</v>
      </c>
      <c r="C152" s="23" t="s">
        <v>59</v>
      </c>
      <c r="D152" s="23" t="s">
        <v>10</v>
      </c>
      <c r="E152" s="23" t="s">
        <v>631</v>
      </c>
      <c r="F152" s="25">
        <v>-500</v>
      </c>
      <c r="G152" s="23" t="s">
        <v>176</v>
      </c>
      <c r="H152" s="24"/>
      <c r="I152" s="23"/>
    </row>
    <row r="153" spans="2:9" x14ac:dyDescent="0.2">
      <c r="B153" s="19">
        <v>46165</v>
      </c>
      <c r="C153" s="20" t="s">
        <v>550</v>
      </c>
      <c r="D153" s="20" t="s">
        <v>101</v>
      </c>
      <c r="E153" s="20" t="s">
        <v>622</v>
      </c>
      <c r="F153" s="26">
        <v>-207.42</v>
      </c>
      <c r="G153" s="20" t="s">
        <v>176</v>
      </c>
      <c r="H153" s="21"/>
      <c r="I153" s="20" t="s">
        <v>623</v>
      </c>
    </row>
    <row r="154" spans="2:9" x14ac:dyDescent="0.2">
      <c r="B154" s="22">
        <v>46166</v>
      </c>
      <c r="C154" s="23" t="s">
        <v>550</v>
      </c>
      <c r="D154" s="23" t="s">
        <v>108</v>
      </c>
      <c r="E154" s="23" t="s">
        <v>348</v>
      </c>
      <c r="F154" s="25">
        <v>-31.9</v>
      </c>
      <c r="G154" s="23" t="s">
        <v>176</v>
      </c>
      <c r="H154" s="24"/>
      <c r="I154" s="23" t="s">
        <v>623</v>
      </c>
    </row>
    <row r="155" spans="2:9" x14ac:dyDescent="0.2">
      <c r="B155" s="19">
        <v>46166</v>
      </c>
      <c r="C155" s="20" t="s">
        <v>59</v>
      </c>
      <c r="D155" s="20" t="s">
        <v>10</v>
      </c>
      <c r="E155" s="20" t="s">
        <v>632</v>
      </c>
      <c r="F155" s="26">
        <v>-700</v>
      </c>
      <c r="G155" s="20" t="s">
        <v>176</v>
      </c>
      <c r="H155" s="21"/>
      <c r="I155" s="20"/>
    </row>
    <row r="156" spans="2:9" x14ac:dyDescent="0.2">
      <c r="B156" s="22">
        <v>46167</v>
      </c>
      <c r="C156" s="23" t="s">
        <v>59</v>
      </c>
      <c r="D156" s="23" t="s">
        <v>10</v>
      </c>
      <c r="E156" s="23" t="s">
        <v>596</v>
      </c>
      <c r="F156" s="25">
        <v>-470</v>
      </c>
      <c r="G156" s="23" t="s">
        <v>176</v>
      </c>
      <c r="H156" s="24"/>
      <c r="I156" s="23"/>
    </row>
    <row r="157" spans="2:9" x14ac:dyDescent="0.2">
      <c r="B157" s="19">
        <v>46170</v>
      </c>
      <c r="C157" s="20" t="s">
        <v>550</v>
      </c>
      <c r="D157" s="20" t="s">
        <v>101</v>
      </c>
      <c r="E157" s="20" t="s">
        <v>567</v>
      </c>
      <c r="F157" s="26">
        <v>-103.5</v>
      </c>
      <c r="G157" s="20" t="s">
        <v>176</v>
      </c>
      <c r="H157" s="21"/>
      <c r="I157" s="20" t="s">
        <v>623</v>
      </c>
    </row>
    <row r="158" spans="2:9" x14ac:dyDescent="0.2">
      <c r="B158" s="22">
        <v>46170</v>
      </c>
      <c r="C158" s="23" t="s">
        <v>59</v>
      </c>
      <c r="D158" s="23" t="s">
        <v>10</v>
      </c>
      <c r="E158" s="23" t="s">
        <v>596</v>
      </c>
      <c r="F158" s="25">
        <v>-450</v>
      </c>
      <c r="G158" s="23" t="s">
        <v>176</v>
      </c>
      <c r="H158" s="24"/>
      <c r="I158" s="23"/>
    </row>
    <row r="159" spans="2:9" x14ac:dyDescent="0.2">
      <c r="B159" s="19">
        <v>46171</v>
      </c>
      <c r="C159" s="20" t="s">
        <v>550</v>
      </c>
      <c r="D159" s="20" t="s">
        <v>110</v>
      </c>
      <c r="E159" s="20" t="s">
        <v>613</v>
      </c>
      <c r="F159" s="26">
        <v>-13.97</v>
      </c>
      <c r="G159" s="20" t="s">
        <v>176</v>
      </c>
      <c r="H159" s="21"/>
      <c r="I159" s="20" t="s">
        <v>623</v>
      </c>
    </row>
    <row r="160" spans="2:9" x14ac:dyDescent="0.2">
      <c r="B160" s="22">
        <v>46172</v>
      </c>
      <c r="C160" s="23" t="s">
        <v>550</v>
      </c>
      <c r="D160" s="23" t="s">
        <v>108</v>
      </c>
      <c r="E160" s="23" t="s">
        <v>348</v>
      </c>
      <c r="F160" s="25">
        <v>-99.9</v>
      </c>
      <c r="G160" s="23" t="s">
        <v>176</v>
      </c>
      <c r="H160" s="24"/>
      <c r="I160" s="23" t="s">
        <v>623</v>
      </c>
    </row>
    <row r="161" spans="2:9" x14ac:dyDescent="0.2">
      <c r="B161" s="19">
        <v>46172</v>
      </c>
      <c r="C161" s="20" t="s">
        <v>550</v>
      </c>
      <c r="D161" s="20" t="s">
        <v>101</v>
      </c>
      <c r="E161" s="20" t="s">
        <v>561</v>
      </c>
      <c r="F161" s="26">
        <v>-113.85</v>
      </c>
      <c r="G161" s="20" t="s">
        <v>176</v>
      </c>
      <c r="H161" s="21"/>
      <c r="I161" s="20" t="s">
        <v>623</v>
      </c>
    </row>
    <row r="162" spans="2:9" x14ac:dyDescent="0.2">
      <c r="B162" s="22">
        <v>46172</v>
      </c>
      <c r="C162" s="23" t="s">
        <v>550</v>
      </c>
      <c r="D162" s="23" t="s">
        <v>109</v>
      </c>
      <c r="E162" s="23" t="s">
        <v>628</v>
      </c>
      <c r="F162" s="25">
        <v>-90.29</v>
      </c>
      <c r="G162" s="23" t="s">
        <v>176</v>
      </c>
      <c r="H162" s="24"/>
      <c r="I162" s="23" t="s">
        <v>623</v>
      </c>
    </row>
    <row r="163" spans="2:9" x14ac:dyDescent="0.2">
      <c r="B163" s="19">
        <v>46174</v>
      </c>
      <c r="C163" s="20" t="s">
        <v>550</v>
      </c>
      <c r="D163" s="20" t="s">
        <v>101</v>
      </c>
      <c r="E163" s="20" t="s">
        <v>617</v>
      </c>
      <c r="F163" s="26">
        <v>-78.56</v>
      </c>
      <c r="G163" s="20" t="s">
        <v>176</v>
      </c>
      <c r="H163" s="21"/>
      <c r="I163" s="20" t="s">
        <v>623</v>
      </c>
    </row>
    <row r="164" spans="2:9" x14ac:dyDescent="0.2">
      <c r="B164" s="22">
        <v>46174</v>
      </c>
      <c r="C164" s="23" t="s">
        <v>550</v>
      </c>
      <c r="D164" s="23" t="s">
        <v>101</v>
      </c>
      <c r="E164" s="23" t="s">
        <v>603</v>
      </c>
      <c r="F164" s="25">
        <v>-111.81</v>
      </c>
      <c r="G164" s="23" t="s">
        <v>176</v>
      </c>
      <c r="H164" s="24"/>
      <c r="I164" s="23" t="s">
        <v>623</v>
      </c>
    </row>
    <row r="165" spans="2:9" x14ac:dyDescent="0.2">
      <c r="B165" s="19">
        <v>46175</v>
      </c>
      <c r="C165" s="20" t="s">
        <v>550</v>
      </c>
      <c r="D165" s="20" t="s">
        <v>110</v>
      </c>
      <c r="E165" s="20" t="s">
        <v>613</v>
      </c>
      <c r="F165" s="26">
        <v>-24.95</v>
      </c>
      <c r="G165" s="20" t="s">
        <v>176</v>
      </c>
      <c r="H165" s="21"/>
      <c r="I165" s="20" t="s">
        <v>623</v>
      </c>
    </row>
    <row r="166" spans="2:9" x14ac:dyDescent="0.2">
      <c r="B166" s="22">
        <v>46175</v>
      </c>
      <c r="C166" s="23" t="s">
        <v>550</v>
      </c>
      <c r="D166" s="23" t="s">
        <v>103</v>
      </c>
      <c r="E166" s="23" t="s">
        <v>633</v>
      </c>
      <c r="F166" s="25">
        <v>-161.5</v>
      </c>
      <c r="G166" s="23" t="s">
        <v>176</v>
      </c>
      <c r="H166" s="24"/>
      <c r="I166" s="23" t="s">
        <v>623</v>
      </c>
    </row>
    <row r="167" spans="2:9" x14ac:dyDescent="0.2">
      <c r="B167" s="19">
        <v>46176</v>
      </c>
      <c r="C167" s="20" t="s">
        <v>550</v>
      </c>
      <c r="D167" s="20" t="s">
        <v>106</v>
      </c>
      <c r="E167" s="20" t="s">
        <v>336</v>
      </c>
      <c r="F167" s="26">
        <v>-235.52</v>
      </c>
      <c r="G167" s="20" t="s">
        <v>176</v>
      </c>
      <c r="H167" s="21"/>
      <c r="I167" s="20" t="s">
        <v>623</v>
      </c>
    </row>
    <row r="168" spans="2:9" x14ac:dyDescent="0.2">
      <c r="B168" s="22">
        <v>46176</v>
      </c>
      <c r="C168" s="23" t="s">
        <v>550</v>
      </c>
      <c r="D168" s="23" t="s">
        <v>110</v>
      </c>
      <c r="E168" s="23" t="s">
        <v>634</v>
      </c>
      <c r="F168" s="25">
        <v>-11.98</v>
      </c>
      <c r="G168" s="23" t="s">
        <v>176</v>
      </c>
      <c r="H168" s="24"/>
      <c r="I168" s="23" t="s">
        <v>623</v>
      </c>
    </row>
    <row r="169" spans="2:9" x14ac:dyDescent="0.2">
      <c r="B169" s="19">
        <v>46176</v>
      </c>
      <c r="C169" s="20" t="s">
        <v>550</v>
      </c>
      <c r="D169" s="20" t="s">
        <v>111</v>
      </c>
      <c r="E169" s="20" t="s">
        <v>635</v>
      </c>
      <c r="F169" s="26">
        <v>-74.430000000000007</v>
      </c>
      <c r="G169" s="20" t="s">
        <v>176</v>
      </c>
      <c r="H169" s="21"/>
      <c r="I169" s="20" t="s">
        <v>623</v>
      </c>
    </row>
    <row r="170" spans="2:9" x14ac:dyDescent="0.2">
      <c r="B170" s="22">
        <v>46176</v>
      </c>
      <c r="C170" s="23" t="s">
        <v>550</v>
      </c>
      <c r="D170" s="23" t="s">
        <v>110</v>
      </c>
      <c r="E170" s="23" t="s">
        <v>613</v>
      </c>
      <c r="F170" s="25">
        <v>-19.68</v>
      </c>
      <c r="G170" s="23" t="s">
        <v>176</v>
      </c>
      <c r="H170" s="24"/>
      <c r="I170" s="23" t="s">
        <v>623</v>
      </c>
    </row>
    <row r="171" spans="2:9" x14ac:dyDescent="0.2">
      <c r="B171" s="19">
        <v>46176</v>
      </c>
      <c r="C171" s="20" t="s">
        <v>550</v>
      </c>
      <c r="D171" s="20" t="s">
        <v>103</v>
      </c>
      <c r="E171" s="20" t="s">
        <v>636</v>
      </c>
      <c r="F171" s="26">
        <v>-117</v>
      </c>
      <c r="G171" s="20" t="s">
        <v>176</v>
      </c>
      <c r="H171" s="21"/>
      <c r="I171" s="20" t="s">
        <v>623</v>
      </c>
    </row>
    <row r="172" spans="2:9" x14ac:dyDescent="0.2">
      <c r="B172" s="22">
        <v>46176</v>
      </c>
      <c r="C172" s="23" t="s">
        <v>550</v>
      </c>
      <c r="D172" s="23" t="s">
        <v>110</v>
      </c>
      <c r="E172" s="23" t="s">
        <v>613</v>
      </c>
      <c r="F172" s="25">
        <v>-43.99</v>
      </c>
      <c r="G172" s="23" t="s">
        <v>176</v>
      </c>
      <c r="H172" s="24"/>
      <c r="I172" s="23" t="s">
        <v>623</v>
      </c>
    </row>
    <row r="173" spans="2:9" x14ac:dyDescent="0.2">
      <c r="B173" s="19">
        <v>46177</v>
      </c>
      <c r="C173" s="20" t="s">
        <v>550</v>
      </c>
      <c r="D173" s="20" t="s">
        <v>101</v>
      </c>
      <c r="E173" s="20" t="s">
        <v>617</v>
      </c>
      <c r="F173" s="26">
        <v>-78.25</v>
      </c>
      <c r="G173" s="20" t="s">
        <v>176</v>
      </c>
      <c r="H173" s="21"/>
      <c r="I173" s="20" t="s">
        <v>623</v>
      </c>
    </row>
    <row r="174" spans="2:9" x14ac:dyDescent="0.2">
      <c r="B174" s="22">
        <v>46177</v>
      </c>
      <c r="C174" s="23" t="s">
        <v>550</v>
      </c>
      <c r="D174" s="23" t="s">
        <v>101</v>
      </c>
      <c r="E174" s="23" t="s">
        <v>617</v>
      </c>
      <c r="F174" s="25">
        <v>-78.25</v>
      </c>
      <c r="G174" s="23" t="s">
        <v>176</v>
      </c>
      <c r="H174" s="24"/>
      <c r="I174" s="23" t="s">
        <v>623</v>
      </c>
    </row>
    <row r="175" spans="2:9" x14ac:dyDescent="0.2">
      <c r="B175" s="19">
        <v>46178</v>
      </c>
      <c r="C175" s="20" t="s">
        <v>550</v>
      </c>
      <c r="D175" s="20" t="s">
        <v>101</v>
      </c>
      <c r="E175" s="20" t="s">
        <v>617</v>
      </c>
      <c r="F175" s="26">
        <v>-78.25</v>
      </c>
      <c r="G175" s="20" t="s">
        <v>176</v>
      </c>
      <c r="H175" s="21"/>
      <c r="I175" s="20" t="s">
        <v>623</v>
      </c>
    </row>
    <row r="176" spans="2:9" x14ac:dyDescent="0.2">
      <c r="B176" s="22">
        <v>46178</v>
      </c>
      <c r="C176" s="23" t="s">
        <v>59</v>
      </c>
      <c r="D176" s="23" t="s">
        <v>10</v>
      </c>
      <c r="E176" s="23" t="s">
        <v>596</v>
      </c>
      <c r="F176" s="25">
        <v>-480</v>
      </c>
      <c r="G176" s="23" t="s">
        <v>176</v>
      </c>
      <c r="H176" s="24"/>
      <c r="I176" s="23"/>
    </row>
  </sheetData>
  <autoFilter ref="B14:I221" xr:uid="{00000000-0009-0000-0000-000002000000}"/>
  <mergeCells count="3">
    <mergeCell ref="B13:I13"/>
    <mergeCell ref="B1:I1"/>
    <mergeCell ref="B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B1A1A"/>
  </sheetPr>
  <dimension ref="B1:G102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12" customWidth="1"/>
    <col min="3" max="3" width="26" customWidth="1"/>
    <col min="4" max="4" width="16" customWidth="1"/>
    <col min="5" max="5" width="14" customWidth="1"/>
    <col min="6" max="6" width="12" customWidth="1"/>
    <col min="7" max="7" width="10" customWidth="1"/>
    <col min="8" max="8" width="20" customWidth="1"/>
  </cols>
  <sheetData>
    <row r="1" spans="2:7" ht="30" customHeight="1" x14ac:dyDescent="0.2">
      <c r="B1" s="178" t="s">
        <v>637</v>
      </c>
      <c r="C1" s="179"/>
      <c r="D1" s="179"/>
      <c r="E1" s="179"/>
      <c r="F1" s="179"/>
      <c r="G1" s="180"/>
    </row>
    <row r="3" spans="2:7" ht="16" customHeight="1" x14ac:dyDescent="0.2">
      <c r="B3" s="183" t="s">
        <v>638</v>
      </c>
      <c r="C3" s="182"/>
      <c r="D3" s="183" t="s">
        <v>639</v>
      </c>
      <c r="E3" s="182"/>
      <c r="F3" s="183" t="s">
        <v>640</v>
      </c>
      <c r="G3" s="182"/>
    </row>
    <row r="4" spans="2:7" ht="30" customHeight="1" x14ac:dyDescent="0.2">
      <c r="B4" s="181">
        <v>37245.760000000002</v>
      </c>
      <c r="C4" s="182"/>
      <c r="D4" s="181">
        <v>6207.626666666667</v>
      </c>
      <c r="E4" s="182"/>
      <c r="F4" s="181">
        <v>27488.73</v>
      </c>
      <c r="G4" s="182"/>
    </row>
    <row r="6" spans="2:7" ht="8" customHeight="1" x14ac:dyDescent="0.2"/>
    <row r="7" spans="2:7" ht="16" customHeight="1" x14ac:dyDescent="0.2">
      <c r="B7" s="175" t="s">
        <v>641</v>
      </c>
      <c r="C7" s="176"/>
      <c r="D7" s="176"/>
      <c r="E7" s="176"/>
      <c r="F7" s="176"/>
      <c r="G7" s="177"/>
    </row>
    <row r="8" spans="2:7" ht="18" customHeight="1" x14ac:dyDescent="0.2">
      <c r="B8" s="2" t="s">
        <v>93</v>
      </c>
      <c r="C8" s="2" t="s">
        <v>94</v>
      </c>
      <c r="D8" s="2" t="s">
        <v>642</v>
      </c>
      <c r="E8" s="2" t="s">
        <v>96</v>
      </c>
      <c r="F8" s="2" t="s">
        <v>288</v>
      </c>
      <c r="G8" s="2" t="s">
        <v>97</v>
      </c>
    </row>
    <row r="9" spans="2:7" x14ac:dyDescent="0.2">
      <c r="B9" s="3" t="s">
        <v>98</v>
      </c>
      <c r="C9" s="5">
        <v>9036.83</v>
      </c>
      <c r="D9" s="27">
        <v>0.242627080236784</v>
      </c>
      <c r="E9" s="5">
        <v>1506.1383333333331</v>
      </c>
      <c r="F9" s="13">
        <v>1</v>
      </c>
      <c r="G9" s="4" t="s">
        <v>99</v>
      </c>
    </row>
    <row r="10" spans="2:7" x14ac:dyDescent="0.2">
      <c r="B10" s="6" t="s">
        <v>100</v>
      </c>
      <c r="C10" s="8">
        <v>8744.6799999999985</v>
      </c>
      <c r="D10" s="28">
        <v>0.23478323438694759</v>
      </c>
      <c r="E10" s="8">
        <v>1457.446666666666</v>
      </c>
      <c r="F10" s="11">
        <v>9</v>
      </c>
      <c r="G10" s="7" t="s">
        <v>99</v>
      </c>
    </row>
    <row r="11" spans="2:7" x14ac:dyDescent="0.2">
      <c r="B11" s="3" t="s">
        <v>101</v>
      </c>
      <c r="C11" s="5">
        <v>6624.3600000000006</v>
      </c>
      <c r="D11" s="27">
        <v>0.17785541226706081</v>
      </c>
      <c r="E11" s="5">
        <v>1104.06</v>
      </c>
      <c r="F11" s="13">
        <v>37</v>
      </c>
      <c r="G11" s="4" t="s">
        <v>102</v>
      </c>
    </row>
    <row r="12" spans="2:7" x14ac:dyDescent="0.2">
      <c r="B12" s="35" t="s">
        <v>103</v>
      </c>
      <c r="C12" s="36">
        <v>6455.1</v>
      </c>
      <c r="D12" s="37">
        <v>0.17331100237986821</v>
      </c>
      <c r="E12" s="36">
        <v>1075.8499999999999</v>
      </c>
      <c r="F12" s="38">
        <v>39</v>
      </c>
      <c r="G12" s="39" t="s">
        <v>102</v>
      </c>
    </row>
    <row r="13" spans="2:7" x14ac:dyDescent="0.2">
      <c r="B13" s="3" t="s">
        <v>104</v>
      </c>
      <c r="C13" s="5">
        <v>2235.58</v>
      </c>
      <c r="D13" s="27">
        <v>6.0022402549981521E-2</v>
      </c>
      <c r="E13" s="5">
        <v>372.59666666666658</v>
      </c>
      <c r="F13" s="13">
        <v>9</v>
      </c>
      <c r="G13" s="4" t="s">
        <v>99</v>
      </c>
    </row>
    <row r="14" spans="2:7" x14ac:dyDescent="0.2">
      <c r="B14" s="6" t="s">
        <v>106</v>
      </c>
      <c r="C14" s="8">
        <v>1413.12</v>
      </c>
      <c r="D14" s="28">
        <v>3.7940425970633983E-2</v>
      </c>
      <c r="E14" s="8">
        <v>235.52</v>
      </c>
      <c r="F14" s="11">
        <v>6</v>
      </c>
      <c r="G14" s="7" t="s">
        <v>107</v>
      </c>
    </row>
    <row r="15" spans="2:7" x14ac:dyDescent="0.2">
      <c r="B15" s="3" t="s">
        <v>108</v>
      </c>
      <c r="C15" s="5">
        <v>1227.5</v>
      </c>
      <c r="D15" s="27">
        <v>3.295677145532807E-2</v>
      </c>
      <c r="E15" s="5">
        <v>204.58333333333329</v>
      </c>
      <c r="F15" s="13">
        <v>19</v>
      </c>
      <c r="G15" s="4" t="s">
        <v>99</v>
      </c>
    </row>
    <row r="16" spans="2:7" x14ac:dyDescent="0.2">
      <c r="B16" s="6" t="s">
        <v>109</v>
      </c>
      <c r="C16" s="8">
        <v>1217.92</v>
      </c>
      <c r="D16" s="28">
        <v>3.2699560970161433E-2</v>
      </c>
      <c r="E16" s="8">
        <v>202.98666666666671</v>
      </c>
      <c r="F16" s="11">
        <v>14</v>
      </c>
      <c r="G16" s="7" t="s">
        <v>107</v>
      </c>
    </row>
    <row r="17" spans="2:7" x14ac:dyDescent="0.2">
      <c r="B17" s="3" t="s">
        <v>110</v>
      </c>
      <c r="C17" s="5">
        <v>205.34</v>
      </c>
      <c r="D17" s="27">
        <v>5.5131107540831491E-3</v>
      </c>
      <c r="E17" s="5">
        <v>34.223333333333343</v>
      </c>
      <c r="F17" s="13">
        <v>10</v>
      </c>
      <c r="G17" s="4" t="s">
        <v>99</v>
      </c>
    </row>
    <row r="18" spans="2:7" x14ac:dyDescent="0.2">
      <c r="B18" s="6" t="s">
        <v>111</v>
      </c>
      <c r="C18" s="8">
        <v>74.430000000000007</v>
      </c>
      <c r="D18" s="28">
        <v>1.998348268366654E-3</v>
      </c>
      <c r="E18" s="8">
        <v>12.404999999999999</v>
      </c>
      <c r="F18" s="11">
        <v>1</v>
      </c>
      <c r="G18" s="7" t="s">
        <v>107</v>
      </c>
    </row>
    <row r="19" spans="2:7" x14ac:dyDescent="0.2">
      <c r="B19" s="3" t="s">
        <v>60</v>
      </c>
      <c r="C19" s="5">
        <v>10.9</v>
      </c>
      <c r="D19" s="27">
        <v>2.9265076078458332E-4</v>
      </c>
      <c r="E19" s="5">
        <v>1.8166666666666671</v>
      </c>
      <c r="F19" s="13">
        <v>1</v>
      </c>
      <c r="G19" s="4" t="s">
        <v>99</v>
      </c>
    </row>
    <row r="22" spans="2:7" ht="16" customHeight="1" x14ac:dyDescent="0.2">
      <c r="B22" s="175" t="s">
        <v>643</v>
      </c>
      <c r="C22" s="176"/>
      <c r="D22" s="176"/>
      <c r="E22" s="176"/>
      <c r="F22" s="176"/>
      <c r="G22" s="177"/>
    </row>
    <row r="23" spans="2:7" ht="18" customHeight="1" x14ac:dyDescent="0.2">
      <c r="B23" s="2" t="s">
        <v>73</v>
      </c>
      <c r="C23" s="2" t="s">
        <v>9</v>
      </c>
      <c r="D23" s="2" t="s">
        <v>288</v>
      </c>
      <c r="E23" s="2" t="s">
        <v>76</v>
      </c>
      <c r="F23" s="2" t="s">
        <v>644</v>
      </c>
      <c r="G23" s="2" t="s">
        <v>507</v>
      </c>
    </row>
    <row r="24" spans="2:7" x14ac:dyDescent="0.2">
      <c r="B24" s="7" t="s">
        <v>78</v>
      </c>
      <c r="C24" s="8">
        <v>3745.4</v>
      </c>
      <c r="D24" s="11">
        <v>18</v>
      </c>
      <c r="E24" s="40">
        <v>-2462.2266666666669</v>
      </c>
      <c r="F24" s="8">
        <v>0</v>
      </c>
      <c r="G24" s="7"/>
    </row>
    <row r="25" spans="2:7" x14ac:dyDescent="0.2">
      <c r="B25" s="4" t="s">
        <v>79</v>
      </c>
      <c r="C25" s="5">
        <v>9515.9</v>
      </c>
      <c r="D25" s="13">
        <v>21</v>
      </c>
      <c r="E25" s="41">
        <v>3308.2733333333331</v>
      </c>
      <c r="F25" s="41">
        <v>5770.5</v>
      </c>
      <c r="G25" s="4"/>
    </row>
    <row r="26" spans="2:7" x14ac:dyDescent="0.2">
      <c r="B26" s="7" t="s">
        <v>80</v>
      </c>
      <c r="C26" s="8">
        <v>14231.47</v>
      </c>
      <c r="D26" s="11">
        <v>32</v>
      </c>
      <c r="E26" s="9">
        <v>8023.8433333333342</v>
      </c>
      <c r="F26" s="9">
        <v>4715.5700000000024</v>
      </c>
      <c r="G26" s="7"/>
    </row>
    <row r="27" spans="2:7" x14ac:dyDescent="0.2">
      <c r="B27" s="4" t="s">
        <v>81</v>
      </c>
      <c r="C27" s="5">
        <v>5330.44</v>
      </c>
      <c r="D27" s="13">
        <v>33</v>
      </c>
      <c r="E27" s="42">
        <v>-877.18666666666741</v>
      </c>
      <c r="F27" s="42">
        <v>-8901.0300000000025</v>
      </c>
      <c r="G27" s="4"/>
    </row>
    <row r="28" spans="2:7" x14ac:dyDescent="0.2">
      <c r="B28" s="7" t="s">
        <v>82</v>
      </c>
      <c r="C28" s="8">
        <v>3308.38</v>
      </c>
      <c r="D28" s="11">
        <v>29</v>
      </c>
      <c r="E28" s="40">
        <v>-2899.2466666666669</v>
      </c>
      <c r="F28" s="40">
        <v>-2022.059999999999</v>
      </c>
      <c r="G28" s="7"/>
    </row>
    <row r="29" spans="2:7" x14ac:dyDescent="0.2">
      <c r="B29" s="4" t="s">
        <v>83</v>
      </c>
      <c r="C29" s="5">
        <v>1114.17</v>
      </c>
      <c r="D29" s="13">
        <v>13</v>
      </c>
      <c r="E29" s="42">
        <v>-5093.4566666666669</v>
      </c>
      <c r="F29" s="42">
        <v>-2194.21</v>
      </c>
      <c r="G29" s="4"/>
    </row>
    <row r="32" spans="2:7" ht="16" customHeight="1" x14ac:dyDescent="0.2">
      <c r="B32" s="175" t="s">
        <v>645</v>
      </c>
      <c r="C32" s="176"/>
      <c r="D32" s="176"/>
      <c r="E32" s="176"/>
      <c r="F32" s="176"/>
      <c r="G32" s="177"/>
    </row>
    <row r="33" spans="2:7" ht="18" customHeight="1" x14ac:dyDescent="0.2">
      <c r="B33" s="2" t="s">
        <v>356</v>
      </c>
      <c r="C33" s="2" t="s">
        <v>368</v>
      </c>
      <c r="D33" s="2" t="s">
        <v>369</v>
      </c>
      <c r="E33" s="2" t="s">
        <v>358</v>
      </c>
      <c r="F33" s="2" t="s">
        <v>93</v>
      </c>
      <c r="G33" s="2" t="s">
        <v>23</v>
      </c>
    </row>
    <row r="34" spans="2:7" x14ac:dyDescent="0.2">
      <c r="B34" s="23" t="s">
        <v>646</v>
      </c>
      <c r="C34" s="23" t="s">
        <v>372</v>
      </c>
      <c r="D34" s="23" t="s">
        <v>647</v>
      </c>
      <c r="E34" s="32">
        <v>144</v>
      </c>
      <c r="F34" s="23" t="s">
        <v>648</v>
      </c>
      <c r="G34" s="23" t="s">
        <v>375</v>
      </c>
    </row>
    <row r="35" spans="2:7" x14ac:dyDescent="0.2">
      <c r="B35" s="20" t="s">
        <v>649</v>
      </c>
      <c r="C35" s="20" t="s">
        <v>372</v>
      </c>
      <c r="D35" s="20" t="s">
        <v>650</v>
      </c>
      <c r="E35" s="31">
        <v>41.65</v>
      </c>
      <c r="F35" s="20" t="s">
        <v>378</v>
      </c>
      <c r="G35" s="20" t="s">
        <v>375</v>
      </c>
    </row>
    <row r="36" spans="2:7" x14ac:dyDescent="0.2">
      <c r="B36" s="23" t="s">
        <v>410</v>
      </c>
      <c r="C36" s="23" t="s">
        <v>372</v>
      </c>
      <c r="D36" s="23" t="s">
        <v>411</v>
      </c>
      <c r="E36" s="32">
        <v>480</v>
      </c>
      <c r="F36" s="23" t="s">
        <v>378</v>
      </c>
      <c r="G36" s="23" t="s">
        <v>375</v>
      </c>
    </row>
    <row r="37" spans="2:7" x14ac:dyDescent="0.2">
      <c r="B37" s="20" t="s">
        <v>651</v>
      </c>
      <c r="C37" s="20" t="s">
        <v>372</v>
      </c>
      <c r="D37" s="20" t="s">
        <v>652</v>
      </c>
      <c r="E37" s="31">
        <v>249.99</v>
      </c>
      <c r="F37" s="20" t="s">
        <v>653</v>
      </c>
      <c r="G37" s="20" t="s">
        <v>375</v>
      </c>
    </row>
    <row r="38" spans="2:7" x14ac:dyDescent="0.2">
      <c r="B38" s="23" t="s">
        <v>654</v>
      </c>
      <c r="C38" s="23" t="s">
        <v>655</v>
      </c>
      <c r="D38" s="23" t="s">
        <v>656</v>
      </c>
      <c r="E38" s="32">
        <v>90.29</v>
      </c>
      <c r="F38" s="23" t="s">
        <v>657</v>
      </c>
      <c r="G38" s="23" t="s">
        <v>375</v>
      </c>
    </row>
    <row r="39" spans="2:7" x14ac:dyDescent="0.2">
      <c r="B39" s="20" t="s">
        <v>359</v>
      </c>
      <c r="C39" s="20" t="s">
        <v>655</v>
      </c>
      <c r="D39" s="20" t="s">
        <v>656</v>
      </c>
      <c r="E39" s="31">
        <v>67.31</v>
      </c>
      <c r="F39" s="20" t="s">
        <v>657</v>
      </c>
      <c r="G39" s="20" t="s">
        <v>375</v>
      </c>
    </row>
    <row r="40" spans="2:7" x14ac:dyDescent="0.2">
      <c r="B40" s="23" t="s">
        <v>658</v>
      </c>
      <c r="C40" s="23" t="s">
        <v>655</v>
      </c>
      <c r="D40" s="23" t="s">
        <v>659</v>
      </c>
      <c r="E40" s="32">
        <v>73.03</v>
      </c>
      <c r="F40" s="23" t="s">
        <v>660</v>
      </c>
      <c r="G40" s="23" t="s">
        <v>375</v>
      </c>
    </row>
    <row r="41" spans="2:7" x14ac:dyDescent="0.2">
      <c r="B41" s="20" t="s">
        <v>661</v>
      </c>
      <c r="C41" s="20" t="s">
        <v>372</v>
      </c>
      <c r="D41" s="20" t="s">
        <v>662</v>
      </c>
      <c r="E41" s="31">
        <v>429.9</v>
      </c>
      <c r="F41" s="20" t="s">
        <v>374</v>
      </c>
      <c r="G41" s="20" t="s">
        <v>375</v>
      </c>
    </row>
    <row r="42" spans="2:7" x14ac:dyDescent="0.2">
      <c r="B42" s="23" t="s">
        <v>661</v>
      </c>
      <c r="C42" s="23" t="s">
        <v>655</v>
      </c>
      <c r="D42" s="23" t="s">
        <v>663</v>
      </c>
      <c r="E42" s="32">
        <v>7.95</v>
      </c>
      <c r="F42" s="23" t="s">
        <v>664</v>
      </c>
      <c r="G42" s="23" t="s">
        <v>375</v>
      </c>
    </row>
    <row r="43" spans="2:7" x14ac:dyDescent="0.2">
      <c r="B43" s="20" t="s">
        <v>665</v>
      </c>
      <c r="C43" s="20" t="s">
        <v>372</v>
      </c>
      <c r="D43" s="20" t="s">
        <v>666</v>
      </c>
      <c r="E43" s="31">
        <v>379.98</v>
      </c>
      <c r="F43" s="20" t="s">
        <v>374</v>
      </c>
      <c r="G43" s="20" t="s">
        <v>375</v>
      </c>
    </row>
    <row r="44" spans="2:7" x14ac:dyDescent="0.2">
      <c r="B44" s="23" t="s">
        <v>667</v>
      </c>
      <c r="C44" s="23" t="s">
        <v>372</v>
      </c>
      <c r="D44" s="23" t="s">
        <v>668</v>
      </c>
      <c r="E44" s="32">
        <v>132</v>
      </c>
      <c r="F44" s="23" t="s">
        <v>394</v>
      </c>
      <c r="G44" s="23" t="s">
        <v>375</v>
      </c>
    </row>
    <row r="45" spans="2:7" x14ac:dyDescent="0.2">
      <c r="B45" s="20" t="s">
        <v>669</v>
      </c>
      <c r="C45" s="20" t="s">
        <v>655</v>
      </c>
      <c r="D45" s="20" t="s">
        <v>670</v>
      </c>
      <c r="E45" s="34">
        <v>0</v>
      </c>
      <c r="F45" s="20" t="s">
        <v>660</v>
      </c>
      <c r="G45" s="20" t="s">
        <v>375</v>
      </c>
    </row>
    <row r="46" spans="2:7" x14ac:dyDescent="0.2">
      <c r="B46" s="23" t="s">
        <v>671</v>
      </c>
      <c r="C46" s="23" t="s">
        <v>372</v>
      </c>
      <c r="D46" s="23" t="s">
        <v>672</v>
      </c>
      <c r="E46" s="32">
        <v>105.99</v>
      </c>
      <c r="F46" s="23" t="s">
        <v>394</v>
      </c>
      <c r="G46" s="23" t="s">
        <v>375</v>
      </c>
    </row>
    <row r="47" spans="2:7" x14ac:dyDescent="0.2">
      <c r="B47" s="20" t="s">
        <v>673</v>
      </c>
      <c r="C47" s="20" t="s">
        <v>372</v>
      </c>
      <c r="D47" s="20" t="s">
        <v>674</v>
      </c>
      <c r="E47" s="31">
        <v>71.94</v>
      </c>
      <c r="F47" s="20" t="s">
        <v>675</v>
      </c>
      <c r="G47" s="20" t="s">
        <v>375</v>
      </c>
    </row>
    <row r="48" spans="2:7" x14ac:dyDescent="0.2">
      <c r="B48" s="23" t="s">
        <v>673</v>
      </c>
      <c r="C48" s="23" t="s">
        <v>655</v>
      </c>
      <c r="D48" s="23" t="s">
        <v>676</v>
      </c>
      <c r="E48" s="33">
        <v>0</v>
      </c>
      <c r="F48" s="23" t="s">
        <v>660</v>
      </c>
      <c r="G48" s="23" t="s">
        <v>375</v>
      </c>
    </row>
    <row r="49" spans="2:7" x14ac:dyDescent="0.2">
      <c r="B49" s="20" t="s">
        <v>677</v>
      </c>
      <c r="C49" s="20" t="s">
        <v>372</v>
      </c>
      <c r="D49" s="20" t="s">
        <v>678</v>
      </c>
      <c r="E49" s="31">
        <v>36.9</v>
      </c>
      <c r="F49" s="20" t="s">
        <v>648</v>
      </c>
      <c r="G49" s="20" t="s">
        <v>375</v>
      </c>
    </row>
    <row r="50" spans="2:7" x14ac:dyDescent="0.2">
      <c r="B50" s="23" t="s">
        <v>679</v>
      </c>
      <c r="C50" s="23" t="s">
        <v>655</v>
      </c>
      <c r="D50" s="23" t="s">
        <v>680</v>
      </c>
      <c r="E50" s="32">
        <v>74.88</v>
      </c>
      <c r="F50" s="23" t="s">
        <v>681</v>
      </c>
      <c r="G50" s="23" t="s">
        <v>375</v>
      </c>
    </row>
    <row r="51" spans="2:7" x14ac:dyDescent="0.2">
      <c r="B51" s="20" t="s">
        <v>682</v>
      </c>
      <c r="C51" s="20" t="s">
        <v>372</v>
      </c>
      <c r="D51" s="20" t="s">
        <v>683</v>
      </c>
      <c r="E51" s="31">
        <v>69.900000000000006</v>
      </c>
      <c r="F51" s="20" t="s">
        <v>104</v>
      </c>
      <c r="G51" s="20" t="s">
        <v>375</v>
      </c>
    </row>
    <row r="52" spans="2:7" x14ac:dyDescent="0.2">
      <c r="B52" s="23" t="s">
        <v>684</v>
      </c>
      <c r="C52" s="23" t="s">
        <v>372</v>
      </c>
      <c r="D52" s="23" t="s">
        <v>685</v>
      </c>
      <c r="E52" s="32">
        <v>62.25</v>
      </c>
      <c r="F52" s="23" t="s">
        <v>378</v>
      </c>
      <c r="G52" s="23" t="s">
        <v>375</v>
      </c>
    </row>
    <row r="53" spans="2:7" x14ac:dyDescent="0.2">
      <c r="B53" s="20" t="s">
        <v>686</v>
      </c>
      <c r="C53" s="20" t="s">
        <v>372</v>
      </c>
      <c r="D53" s="20" t="s">
        <v>687</v>
      </c>
      <c r="E53" s="31">
        <v>162.9</v>
      </c>
      <c r="F53" s="20" t="s">
        <v>688</v>
      </c>
      <c r="G53" s="20" t="s">
        <v>375</v>
      </c>
    </row>
    <row r="54" spans="2:7" x14ac:dyDescent="0.2">
      <c r="B54" s="23" t="s">
        <v>689</v>
      </c>
      <c r="C54" s="23" t="s">
        <v>372</v>
      </c>
      <c r="D54" s="23" t="s">
        <v>690</v>
      </c>
      <c r="E54" s="32">
        <v>440</v>
      </c>
      <c r="F54" s="23" t="s">
        <v>688</v>
      </c>
      <c r="G54" s="23" t="s">
        <v>375</v>
      </c>
    </row>
    <row r="55" spans="2:7" x14ac:dyDescent="0.2">
      <c r="B55" s="20" t="s">
        <v>691</v>
      </c>
      <c r="C55" s="20" t="s">
        <v>655</v>
      </c>
      <c r="D55" s="20" t="s">
        <v>692</v>
      </c>
      <c r="E55" s="34">
        <v>0</v>
      </c>
      <c r="F55" s="20" t="s">
        <v>681</v>
      </c>
      <c r="G55" s="20" t="s">
        <v>375</v>
      </c>
    </row>
    <row r="56" spans="2:7" x14ac:dyDescent="0.2">
      <c r="B56" s="23" t="s">
        <v>395</v>
      </c>
      <c r="C56" s="23" t="s">
        <v>372</v>
      </c>
      <c r="D56" s="23" t="s">
        <v>396</v>
      </c>
      <c r="E56" s="32">
        <v>824.5</v>
      </c>
      <c r="F56" s="23" t="s">
        <v>397</v>
      </c>
      <c r="G56" s="23" t="s">
        <v>398</v>
      </c>
    </row>
    <row r="57" spans="2:7" x14ac:dyDescent="0.2">
      <c r="B57" s="20" t="s">
        <v>693</v>
      </c>
      <c r="C57" s="20" t="s">
        <v>372</v>
      </c>
      <c r="D57" s="20" t="s">
        <v>694</v>
      </c>
      <c r="E57" s="31">
        <v>27.9</v>
      </c>
      <c r="F57" s="20" t="s">
        <v>394</v>
      </c>
      <c r="G57" s="20" t="s">
        <v>375</v>
      </c>
    </row>
    <row r="58" spans="2:7" x14ac:dyDescent="0.2">
      <c r="B58" s="23" t="s">
        <v>693</v>
      </c>
      <c r="C58" s="23" t="s">
        <v>372</v>
      </c>
      <c r="D58" s="23" t="s">
        <v>695</v>
      </c>
      <c r="E58" s="32">
        <v>49.9</v>
      </c>
      <c r="F58" s="23" t="s">
        <v>378</v>
      </c>
      <c r="G58" s="23" t="s">
        <v>375</v>
      </c>
    </row>
    <row r="59" spans="2:7" x14ac:dyDescent="0.2">
      <c r="B59" s="20" t="s">
        <v>392</v>
      </c>
      <c r="C59" s="20" t="s">
        <v>372</v>
      </c>
      <c r="D59" s="20" t="s">
        <v>696</v>
      </c>
      <c r="E59" s="31">
        <v>919</v>
      </c>
      <c r="F59" s="20" t="s">
        <v>394</v>
      </c>
      <c r="G59" s="20" t="s">
        <v>375</v>
      </c>
    </row>
    <row r="60" spans="2:7" x14ac:dyDescent="0.2">
      <c r="B60" s="23" t="s">
        <v>697</v>
      </c>
      <c r="C60" s="23" t="s">
        <v>372</v>
      </c>
      <c r="D60" s="23" t="s">
        <v>698</v>
      </c>
      <c r="E60" s="32">
        <v>399.99</v>
      </c>
      <c r="F60" s="23" t="s">
        <v>374</v>
      </c>
      <c r="G60" s="23" t="s">
        <v>375</v>
      </c>
    </row>
    <row r="61" spans="2:7" x14ac:dyDescent="0.2">
      <c r="B61" s="20" t="s">
        <v>699</v>
      </c>
      <c r="C61" s="20" t="s">
        <v>372</v>
      </c>
      <c r="D61" s="20" t="s">
        <v>700</v>
      </c>
      <c r="E61" s="31">
        <v>151.80000000000001</v>
      </c>
      <c r="F61" s="20" t="s">
        <v>648</v>
      </c>
      <c r="G61" s="20" t="s">
        <v>375</v>
      </c>
    </row>
    <row r="62" spans="2:7" x14ac:dyDescent="0.2">
      <c r="B62" s="23" t="s">
        <v>701</v>
      </c>
      <c r="C62" s="23" t="s">
        <v>372</v>
      </c>
      <c r="D62" s="23" t="s">
        <v>702</v>
      </c>
      <c r="E62" s="32">
        <v>69.900000000000006</v>
      </c>
      <c r="F62" s="23" t="s">
        <v>394</v>
      </c>
      <c r="G62" s="23" t="s">
        <v>375</v>
      </c>
    </row>
    <row r="63" spans="2:7" x14ac:dyDescent="0.2">
      <c r="B63" s="20" t="s">
        <v>701</v>
      </c>
      <c r="C63" s="20" t="s">
        <v>372</v>
      </c>
      <c r="D63" s="20" t="s">
        <v>703</v>
      </c>
      <c r="E63" s="31">
        <v>137.86000000000001</v>
      </c>
      <c r="F63" s="20" t="s">
        <v>648</v>
      </c>
      <c r="G63" s="20" t="s">
        <v>375</v>
      </c>
    </row>
    <row r="64" spans="2:7" x14ac:dyDescent="0.2">
      <c r="B64" s="23" t="s">
        <v>704</v>
      </c>
      <c r="C64" s="23" t="s">
        <v>372</v>
      </c>
      <c r="D64" s="23" t="s">
        <v>705</v>
      </c>
      <c r="E64" s="32">
        <v>54.9</v>
      </c>
      <c r="F64" s="23" t="s">
        <v>394</v>
      </c>
      <c r="G64" s="23" t="s">
        <v>375</v>
      </c>
    </row>
    <row r="65" spans="2:7" x14ac:dyDescent="0.2">
      <c r="B65" s="20" t="s">
        <v>399</v>
      </c>
      <c r="C65" s="20" t="s">
        <v>372</v>
      </c>
      <c r="D65" s="20" t="s">
        <v>706</v>
      </c>
      <c r="E65" s="31">
        <v>699.9</v>
      </c>
      <c r="F65" s="20" t="s">
        <v>401</v>
      </c>
      <c r="G65" s="20" t="s">
        <v>375</v>
      </c>
    </row>
    <row r="66" spans="2:7" x14ac:dyDescent="0.2">
      <c r="B66" s="23" t="s">
        <v>707</v>
      </c>
      <c r="C66" s="23" t="s">
        <v>372</v>
      </c>
      <c r="D66" s="23" t="s">
        <v>708</v>
      </c>
      <c r="E66" s="32">
        <v>49.83</v>
      </c>
      <c r="F66" s="23" t="s">
        <v>394</v>
      </c>
      <c r="G66" s="23" t="s">
        <v>375</v>
      </c>
    </row>
    <row r="67" spans="2:7" x14ac:dyDescent="0.2">
      <c r="B67" s="20" t="s">
        <v>707</v>
      </c>
      <c r="C67" s="20" t="s">
        <v>372</v>
      </c>
      <c r="D67" s="20" t="s">
        <v>709</v>
      </c>
      <c r="E67" s="31">
        <v>41.24</v>
      </c>
      <c r="F67" s="20" t="s">
        <v>648</v>
      </c>
      <c r="G67" s="20" t="s">
        <v>375</v>
      </c>
    </row>
    <row r="68" spans="2:7" x14ac:dyDescent="0.2">
      <c r="B68" s="23" t="s">
        <v>710</v>
      </c>
      <c r="C68" s="23" t="s">
        <v>372</v>
      </c>
      <c r="D68" s="23" t="s">
        <v>711</v>
      </c>
      <c r="E68" s="32">
        <v>285.95</v>
      </c>
      <c r="F68" s="23" t="s">
        <v>378</v>
      </c>
      <c r="G68" s="23" t="s">
        <v>375</v>
      </c>
    </row>
    <row r="69" spans="2:7" x14ac:dyDescent="0.2">
      <c r="B69" s="20" t="s">
        <v>712</v>
      </c>
      <c r="C69" s="20" t="s">
        <v>372</v>
      </c>
      <c r="D69" s="20" t="s">
        <v>713</v>
      </c>
      <c r="E69" s="31">
        <v>86.33</v>
      </c>
      <c r="F69" s="20" t="s">
        <v>378</v>
      </c>
      <c r="G69" s="20" t="s">
        <v>375</v>
      </c>
    </row>
    <row r="70" spans="2:7" x14ac:dyDescent="0.2">
      <c r="B70" s="23" t="s">
        <v>376</v>
      </c>
      <c r="C70" s="23" t="s">
        <v>372</v>
      </c>
      <c r="D70" s="23" t="s">
        <v>714</v>
      </c>
      <c r="E70" s="32">
        <v>110.38</v>
      </c>
      <c r="F70" s="23" t="s">
        <v>394</v>
      </c>
      <c r="G70" s="23" t="s">
        <v>375</v>
      </c>
    </row>
    <row r="71" spans="2:7" x14ac:dyDescent="0.2">
      <c r="B71" s="20" t="s">
        <v>376</v>
      </c>
      <c r="C71" s="20" t="s">
        <v>372</v>
      </c>
      <c r="D71" s="20" t="s">
        <v>715</v>
      </c>
      <c r="E71" s="31">
        <v>63.9</v>
      </c>
      <c r="F71" s="20" t="s">
        <v>648</v>
      </c>
      <c r="G71" s="20" t="s">
        <v>375</v>
      </c>
    </row>
    <row r="72" spans="2:7" x14ac:dyDescent="0.2">
      <c r="B72" s="23" t="s">
        <v>376</v>
      </c>
      <c r="C72" s="23" t="s">
        <v>372</v>
      </c>
      <c r="D72" s="23" t="s">
        <v>716</v>
      </c>
      <c r="E72" s="32">
        <v>22.7</v>
      </c>
      <c r="F72" s="23" t="s">
        <v>648</v>
      </c>
      <c r="G72" s="23" t="s">
        <v>375</v>
      </c>
    </row>
    <row r="73" spans="2:7" x14ac:dyDescent="0.2">
      <c r="B73" s="20" t="s">
        <v>376</v>
      </c>
      <c r="C73" s="20" t="s">
        <v>372</v>
      </c>
      <c r="D73" s="20" t="s">
        <v>717</v>
      </c>
      <c r="E73" s="31">
        <v>127.4</v>
      </c>
      <c r="F73" s="20" t="s">
        <v>648</v>
      </c>
      <c r="G73" s="20" t="s">
        <v>375</v>
      </c>
    </row>
    <row r="74" spans="2:7" x14ac:dyDescent="0.2">
      <c r="B74" s="23" t="s">
        <v>376</v>
      </c>
      <c r="C74" s="23" t="s">
        <v>372</v>
      </c>
      <c r="D74" s="23" t="s">
        <v>718</v>
      </c>
      <c r="E74" s="32">
        <v>20.67</v>
      </c>
      <c r="F74" s="23" t="s">
        <v>648</v>
      </c>
      <c r="G74" s="23" t="s">
        <v>375</v>
      </c>
    </row>
    <row r="75" spans="2:7" x14ac:dyDescent="0.2">
      <c r="B75" s="20" t="s">
        <v>376</v>
      </c>
      <c r="C75" s="20" t="s">
        <v>372</v>
      </c>
      <c r="D75" s="20" t="s">
        <v>719</v>
      </c>
      <c r="E75" s="31">
        <v>36.9</v>
      </c>
      <c r="F75" s="20" t="s">
        <v>648</v>
      </c>
      <c r="G75" s="20" t="s">
        <v>375</v>
      </c>
    </row>
    <row r="76" spans="2:7" x14ac:dyDescent="0.2">
      <c r="B76" s="23" t="s">
        <v>376</v>
      </c>
      <c r="C76" s="23" t="s">
        <v>372</v>
      </c>
      <c r="D76" s="23" t="s">
        <v>377</v>
      </c>
      <c r="E76" s="32">
        <v>4980.91</v>
      </c>
      <c r="F76" s="23" t="s">
        <v>378</v>
      </c>
      <c r="G76" s="23" t="s">
        <v>375</v>
      </c>
    </row>
    <row r="77" spans="2:7" x14ac:dyDescent="0.2">
      <c r="B77" s="20" t="s">
        <v>720</v>
      </c>
      <c r="C77" s="20" t="s">
        <v>372</v>
      </c>
      <c r="D77" s="20" t="s">
        <v>721</v>
      </c>
      <c r="E77" s="31">
        <v>59.9</v>
      </c>
      <c r="F77" s="20" t="s">
        <v>648</v>
      </c>
      <c r="G77" s="20" t="s">
        <v>375</v>
      </c>
    </row>
    <row r="78" spans="2:7" x14ac:dyDescent="0.2">
      <c r="B78" s="23" t="s">
        <v>389</v>
      </c>
      <c r="C78" s="23" t="s">
        <v>372</v>
      </c>
      <c r="D78" s="23" t="s">
        <v>722</v>
      </c>
      <c r="E78" s="32">
        <v>79</v>
      </c>
      <c r="F78" s="23" t="s">
        <v>374</v>
      </c>
      <c r="G78" s="23" t="s">
        <v>375</v>
      </c>
    </row>
    <row r="79" spans="2:7" x14ac:dyDescent="0.2">
      <c r="B79" s="20" t="s">
        <v>389</v>
      </c>
      <c r="C79" s="20" t="s">
        <v>372</v>
      </c>
      <c r="D79" s="20" t="s">
        <v>402</v>
      </c>
      <c r="E79" s="31">
        <v>599.9</v>
      </c>
      <c r="F79" s="20" t="s">
        <v>391</v>
      </c>
      <c r="G79" s="20" t="s">
        <v>375</v>
      </c>
    </row>
    <row r="80" spans="2:7" x14ac:dyDescent="0.2">
      <c r="B80" s="23" t="s">
        <v>389</v>
      </c>
      <c r="C80" s="23" t="s">
        <v>372</v>
      </c>
      <c r="D80" s="23" t="s">
        <v>390</v>
      </c>
      <c r="E80" s="32">
        <v>1009.78</v>
      </c>
      <c r="F80" s="23" t="s">
        <v>391</v>
      </c>
      <c r="G80" s="23" t="s">
        <v>375</v>
      </c>
    </row>
    <row r="81" spans="2:7" x14ac:dyDescent="0.2">
      <c r="B81" s="20" t="s">
        <v>403</v>
      </c>
      <c r="C81" s="20" t="s">
        <v>372</v>
      </c>
      <c r="D81" s="20" t="s">
        <v>723</v>
      </c>
      <c r="E81" s="31">
        <v>558.72</v>
      </c>
      <c r="F81" s="20" t="s">
        <v>405</v>
      </c>
      <c r="G81" s="20" t="s">
        <v>375</v>
      </c>
    </row>
    <row r="82" spans="2:7" x14ac:dyDescent="0.2">
      <c r="B82" s="23" t="s">
        <v>403</v>
      </c>
      <c r="C82" s="23" t="s">
        <v>372</v>
      </c>
      <c r="D82" s="23" t="s">
        <v>724</v>
      </c>
      <c r="E82" s="32">
        <v>72.67</v>
      </c>
      <c r="F82" s="23" t="s">
        <v>394</v>
      </c>
      <c r="G82" s="23" t="s">
        <v>375</v>
      </c>
    </row>
    <row r="83" spans="2:7" x14ac:dyDescent="0.2">
      <c r="B83" s="20" t="s">
        <v>725</v>
      </c>
      <c r="C83" s="20" t="s">
        <v>372</v>
      </c>
      <c r="D83" s="20" t="s">
        <v>726</v>
      </c>
      <c r="E83" s="31">
        <v>21.89</v>
      </c>
      <c r="F83" s="20" t="s">
        <v>378</v>
      </c>
      <c r="G83" s="20" t="s">
        <v>375</v>
      </c>
    </row>
    <row r="84" spans="2:7" x14ac:dyDescent="0.2">
      <c r="B84" s="23" t="s">
        <v>725</v>
      </c>
      <c r="C84" s="23" t="s">
        <v>372</v>
      </c>
      <c r="D84" s="23" t="s">
        <v>727</v>
      </c>
      <c r="E84" s="32">
        <v>53.99</v>
      </c>
      <c r="F84" s="23" t="s">
        <v>378</v>
      </c>
      <c r="G84" s="23" t="s">
        <v>375</v>
      </c>
    </row>
    <row r="85" spans="2:7" x14ac:dyDescent="0.2">
      <c r="B85" s="20" t="s">
        <v>725</v>
      </c>
      <c r="C85" s="20" t="s">
        <v>372</v>
      </c>
      <c r="D85" s="20" t="s">
        <v>728</v>
      </c>
      <c r="E85" s="31">
        <v>60.08</v>
      </c>
      <c r="F85" s="20" t="s">
        <v>374</v>
      </c>
      <c r="G85" s="20" t="s">
        <v>375</v>
      </c>
    </row>
    <row r="86" spans="2:7" x14ac:dyDescent="0.2">
      <c r="B86" s="23" t="s">
        <v>729</v>
      </c>
      <c r="C86" s="23" t="s">
        <v>372</v>
      </c>
      <c r="D86" s="23" t="s">
        <v>730</v>
      </c>
      <c r="E86" s="32">
        <v>152.91</v>
      </c>
      <c r="F86" s="23" t="s">
        <v>394</v>
      </c>
      <c r="G86" s="23" t="s">
        <v>375</v>
      </c>
    </row>
    <row r="87" spans="2:7" x14ac:dyDescent="0.2">
      <c r="B87" s="20" t="s">
        <v>731</v>
      </c>
      <c r="C87" s="20" t="s">
        <v>655</v>
      </c>
      <c r="D87" s="20" t="s">
        <v>732</v>
      </c>
      <c r="E87" s="31">
        <v>57</v>
      </c>
      <c r="F87" s="20" t="s">
        <v>681</v>
      </c>
      <c r="G87" s="20" t="s">
        <v>375</v>
      </c>
    </row>
    <row r="88" spans="2:7" x14ac:dyDescent="0.2">
      <c r="B88" s="23" t="s">
        <v>379</v>
      </c>
      <c r="C88" s="23" t="s">
        <v>372</v>
      </c>
      <c r="D88" s="23" t="s">
        <v>733</v>
      </c>
      <c r="E88" s="32">
        <v>4952.5200000000004</v>
      </c>
      <c r="F88" s="23" t="s">
        <v>378</v>
      </c>
      <c r="G88" s="23" t="s">
        <v>381</v>
      </c>
    </row>
    <row r="89" spans="2:7" x14ac:dyDescent="0.2">
      <c r="B89" s="20" t="s">
        <v>371</v>
      </c>
      <c r="C89" s="20" t="s">
        <v>372</v>
      </c>
      <c r="D89" s="20" t="s">
        <v>373</v>
      </c>
      <c r="E89" s="31">
        <v>5999</v>
      </c>
      <c r="F89" s="20" t="s">
        <v>374</v>
      </c>
      <c r="G89" s="20" t="s">
        <v>375</v>
      </c>
    </row>
    <row r="90" spans="2:7" x14ac:dyDescent="0.2">
      <c r="B90" s="23" t="s">
        <v>734</v>
      </c>
      <c r="C90" s="23" t="s">
        <v>372</v>
      </c>
      <c r="D90" s="23" t="s">
        <v>735</v>
      </c>
      <c r="E90" s="32">
        <v>128.83000000000001</v>
      </c>
      <c r="F90" s="23" t="s">
        <v>374</v>
      </c>
      <c r="G90" s="23" t="s">
        <v>375</v>
      </c>
    </row>
    <row r="91" spans="2:7" x14ac:dyDescent="0.2">
      <c r="B91" s="20" t="s">
        <v>386</v>
      </c>
      <c r="C91" s="20" t="s">
        <v>372</v>
      </c>
      <c r="D91" s="20" t="s">
        <v>736</v>
      </c>
      <c r="E91" s="31">
        <v>1200.05</v>
      </c>
      <c r="F91" s="20" t="s">
        <v>388</v>
      </c>
      <c r="G91" s="20" t="s">
        <v>375</v>
      </c>
    </row>
    <row r="92" spans="2:7" x14ac:dyDescent="0.2">
      <c r="B92" s="23" t="s">
        <v>382</v>
      </c>
      <c r="C92" s="23" t="s">
        <v>372</v>
      </c>
      <c r="D92" s="23" t="s">
        <v>737</v>
      </c>
      <c r="E92" s="32">
        <v>1798</v>
      </c>
      <c r="F92" s="23" t="s">
        <v>374</v>
      </c>
      <c r="G92" s="23" t="s">
        <v>375</v>
      </c>
    </row>
    <row r="93" spans="2:7" x14ac:dyDescent="0.2">
      <c r="B93" s="20" t="s">
        <v>384</v>
      </c>
      <c r="C93" s="20" t="s">
        <v>372</v>
      </c>
      <c r="D93" s="20" t="s">
        <v>738</v>
      </c>
      <c r="E93" s="31">
        <v>1590</v>
      </c>
      <c r="F93" s="20" t="s">
        <v>374</v>
      </c>
      <c r="G93" s="20" t="s">
        <v>375</v>
      </c>
    </row>
    <row r="94" spans="2:7" x14ac:dyDescent="0.2">
      <c r="B94" s="23" t="s">
        <v>406</v>
      </c>
      <c r="C94" s="23" t="s">
        <v>372</v>
      </c>
      <c r="D94" s="23" t="s">
        <v>739</v>
      </c>
      <c r="E94" s="32">
        <v>236.97</v>
      </c>
      <c r="F94" s="23" t="s">
        <v>394</v>
      </c>
      <c r="G94" s="23" t="s">
        <v>375</v>
      </c>
    </row>
    <row r="95" spans="2:7" x14ac:dyDescent="0.2">
      <c r="B95" s="20" t="s">
        <v>406</v>
      </c>
      <c r="C95" s="20" t="s">
        <v>372</v>
      </c>
      <c r="D95" s="20" t="s">
        <v>740</v>
      </c>
      <c r="E95" s="31">
        <v>496.29</v>
      </c>
      <c r="F95" s="20" t="s">
        <v>394</v>
      </c>
      <c r="G95" s="20" t="s">
        <v>375</v>
      </c>
    </row>
    <row r="96" spans="2:7" x14ac:dyDescent="0.2">
      <c r="B96" s="23" t="s">
        <v>408</v>
      </c>
      <c r="C96" s="23" t="s">
        <v>372</v>
      </c>
      <c r="D96" s="23" t="s">
        <v>409</v>
      </c>
      <c r="E96" s="32">
        <v>482.55</v>
      </c>
      <c r="F96" s="23" t="s">
        <v>378</v>
      </c>
      <c r="G96" s="23" t="s">
        <v>375</v>
      </c>
    </row>
    <row r="97" spans="2:7" x14ac:dyDescent="0.2">
      <c r="B97" s="20" t="s">
        <v>741</v>
      </c>
      <c r="C97" s="20" t="s">
        <v>655</v>
      </c>
      <c r="D97" s="20" t="s">
        <v>742</v>
      </c>
      <c r="E97" s="34">
        <v>0</v>
      </c>
      <c r="F97" s="20" t="s">
        <v>660</v>
      </c>
      <c r="G97" s="20" t="s">
        <v>375</v>
      </c>
    </row>
    <row r="98" spans="2:7" x14ac:dyDescent="0.2">
      <c r="B98" s="23" t="s">
        <v>743</v>
      </c>
      <c r="C98" s="23" t="s">
        <v>655</v>
      </c>
      <c r="D98" s="23" t="s">
        <v>744</v>
      </c>
      <c r="E98" s="32">
        <v>191.8</v>
      </c>
      <c r="F98" s="23" t="s">
        <v>681</v>
      </c>
      <c r="G98" s="23" t="s">
        <v>375</v>
      </c>
    </row>
    <row r="99" spans="2:7" x14ac:dyDescent="0.2">
      <c r="B99" s="20" t="s">
        <v>745</v>
      </c>
      <c r="C99" s="20" t="s">
        <v>655</v>
      </c>
      <c r="D99" s="20" t="s">
        <v>746</v>
      </c>
      <c r="E99" s="31">
        <v>111.6</v>
      </c>
      <c r="F99" s="20" t="s">
        <v>660</v>
      </c>
      <c r="G99" s="20" t="s">
        <v>375</v>
      </c>
    </row>
    <row r="100" spans="2:7" x14ac:dyDescent="0.2">
      <c r="B100" s="23" t="s">
        <v>747</v>
      </c>
      <c r="C100" s="23" t="s">
        <v>655</v>
      </c>
      <c r="D100" s="23" t="s">
        <v>748</v>
      </c>
      <c r="E100" s="32">
        <v>173.79</v>
      </c>
      <c r="F100" s="23" t="s">
        <v>681</v>
      </c>
      <c r="G100" s="23" t="s">
        <v>375</v>
      </c>
    </row>
    <row r="101" spans="2:7" x14ac:dyDescent="0.2">
      <c r="B101" s="20" t="s">
        <v>749</v>
      </c>
      <c r="C101" s="20" t="s">
        <v>372</v>
      </c>
      <c r="D101" s="20" t="s">
        <v>750</v>
      </c>
      <c r="E101" s="31">
        <v>26.29</v>
      </c>
      <c r="F101" s="20" t="s">
        <v>388</v>
      </c>
      <c r="G101" s="20" t="s">
        <v>375</v>
      </c>
    </row>
    <row r="102" spans="2:7" x14ac:dyDescent="0.2">
      <c r="B102" s="23" t="s">
        <v>749</v>
      </c>
      <c r="C102" s="23" t="s">
        <v>372</v>
      </c>
      <c r="D102" s="23" t="s">
        <v>751</v>
      </c>
      <c r="E102" s="32">
        <v>21.85</v>
      </c>
      <c r="F102" s="23" t="s">
        <v>388</v>
      </c>
      <c r="G102" s="23" t="s">
        <v>375</v>
      </c>
    </row>
  </sheetData>
  <autoFilter ref="B33:G102" xr:uid="{00000000-0009-0000-0000-000003000000}"/>
  <mergeCells count="10">
    <mergeCell ref="B1:G1"/>
    <mergeCell ref="B32:G32"/>
    <mergeCell ref="D4:E4"/>
    <mergeCell ref="D3:E3"/>
    <mergeCell ref="B4:C4"/>
    <mergeCell ref="B7:G7"/>
    <mergeCell ref="F3:G3"/>
    <mergeCell ref="F4:G4"/>
    <mergeCell ref="B22:G22"/>
    <mergeCell ref="B3: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5621B"/>
  </sheetPr>
  <dimension ref="B1:J31"/>
  <sheetViews>
    <sheetView showGridLines="0" zoomScale="140" zoomScaleNormal="140" workbookViewId="0">
      <selection activeCell="L8" sqref="L8"/>
    </sheetView>
  </sheetViews>
  <sheetFormatPr baseColWidth="10" defaultColWidth="8.83203125" defaultRowHeight="15" x14ac:dyDescent="0.2"/>
  <cols>
    <col min="1" max="1" width="2" customWidth="1"/>
    <col min="2" max="2" width="12" customWidth="1"/>
    <col min="3" max="3" width="20" customWidth="1"/>
    <col min="4" max="4" width="28" customWidth="1"/>
    <col min="5" max="5" width="10" customWidth="1"/>
    <col min="6" max="6" width="8" customWidth="1"/>
    <col min="7" max="7" width="15" bestFit="1" customWidth="1"/>
    <col min="8" max="9" width="14" customWidth="1"/>
    <col min="10" max="10" width="20" customWidth="1"/>
  </cols>
  <sheetData>
    <row r="1" spans="2:10" ht="30" customHeight="1" x14ac:dyDescent="0.2">
      <c r="B1" s="178" t="s">
        <v>752</v>
      </c>
      <c r="C1" s="179"/>
      <c r="D1" s="179"/>
      <c r="E1" s="179"/>
      <c r="F1" s="179"/>
      <c r="G1" s="179"/>
      <c r="H1" s="179"/>
      <c r="I1" s="180"/>
    </row>
    <row r="3" spans="2:10" ht="16" customHeight="1" x14ac:dyDescent="0.2">
      <c r="B3" s="183" t="s">
        <v>753</v>
      </c>
      <c r="C3" s="182"/>
      <c r="D3" s="183" t="s">
        <v>754</v>
      </c>
      <c r="E3" s="182"/>
      <c r="F3" s="183" t="s">
        <v>755</v>
      </c>
      <c r="G3" s="182"/>
      <c r="H3" s="183" t="s">
        <v>756</v>
      </c>
      <c r="I3" s="182"/>
    </row>
    <row r="4" spans="2:10" ht="30" customHeight="1" x14ac:dyDescent="0.2">
      <c r="B4" s="181">
        <v>0</v>
      </c>
      <c r="C4" s="182"/>
      <c r="D4" s="181">
        <v>0</v>
      </c>
      <c r="E4" s="182"/>
      <c r="F4" s="181">
        <v>0</v>
      </c>
      <c r="G4" s="182"/>
      <c r="H4" s="181">
        <v>0</v>
      </c>
      <c r="I4" s="182"/>
    </row>
    <row r="6" spans="2:10" ht="8" customHeight="1" x14ac:dyDescent="0.2"/>
    <row r="7" spans="2:10" ht="16" customHeight="1" x14ac:dyDescent="0.2">
      <c r="B7" s="175" t="s">
        <v>757</v>
      </c>
      <c r="C7" s="176"/>
      <c r="D7" s="176"/>
      <c r="E7" s="176"/>
      <c r="F7" s="176"/>
      <c r="G7" s="176"/>
      <c r="H7" s="176"/>
      <c r="I7" s="177"/>
    </row>
    <row r="8" spans="2:10" ht="18" customHeight="1" x14ac:dyDescent="0.2">
      <c r="B8" s="2" t="s">
        <v>173</v>
      </c>
      <c r="C8" s="2" t="s">
        <v>113</v>
      </c>
      <c r="D8" s="2" t="s">
        <v>114</v>
      </c>
      <c r="E8" s="2" t="s">
        <v>549</v>
      </c>
      <c r="F8" s="2" t="s">
        <v>758</v>
      </c>
      <c r="G8" s="2" t="s">
        <v>93</v>
      </c>
      <c r="H8" s="2" t="s">
        <v>116</v>
      </c>
      <c r="I8" s="2" t="s">
        <v>117</v>
      </c>
      <c r="J8" s="2" t="s">
        <v>118</v>
      </c>
    </row>
    <row r="9" spans="2:10" x14ac:dyDescent="0.2">
      <c r="B9" s="43"/>
      <c r="C9" s="43" t="s">
        <v>759</v>
      </c>
      <c r="D9" s="43" t="s">
        <v>760</v>
      </c>
      <c r="E9" s="43" t="s">
        <v>121</v>
      </c>
      <c r="F9" s="44">
        <v>0</v>
      </c>
      <c r="G9" s="43" t="s">
        <v>761</v>
      </c>
      <c r="H9" s="43" t="s">
        <v>122</v>
      </c>
      <c r="I9" s="45" t="s">
        <v>34</v>
      </c>
      <c r="J9" s="44">
        <v>0</v>
      </c>
    </row>
    <row r="10" spans="2:10" x14ac:dyDescent="0.2">
      <c r="B10" s="43"/>
      <c r="C10" s="43" t="s">
        <v>759</v>
      </c>
      <c r="D10" s="43" t="s">
        <v>762</v>
      </c>
      <c r="E10" s="43" t="s">
        <v>121</v>
      </c>
      <c r="F10" s="44">
        <v>0</v>
      </c>
      <c r="G10" s="43" t="s">
        <v>761</v>
      </c>
      <c r="H10" s="43" t="s">
        <v>122</v>
      </c>
      <c r="I10" s="45" t="s">
        <v>34</v>
      </c>
      <c r="J10" s="44">
        <v>0</v>
      </c>
    </row>
    <row r="11" spans="2:10" x14ac:dyDescent="0.2">
      <c r="B11" s="43"/>
      <c r="C11" s="43" t="s">
        <v>759</v>
      </c>
      <c r="D11" s="43" t="s">
        <v>763</v>
      </c>
      <c r="E11" s="43" t="s">
        <v>126</v>
      </c>
      <c r="F11" s="44">
        <v>0</v>
      </c>
      <c r="G11" s="43" t="s">
        <v>764</v>
      </c>
      <c r="H11" s="43" t="s">
        <v>127</v>
      </c>
      <c r="I11" s="45" t="s">
        <v>41</v>
      </c>
      <c r="J11" s="44">
        <v>0</v>
      </c>
    </row>
    <row r="12" spans="2:10" x14ac:dyDescent="0.2">
      <c r="B12" s="43"/>
      <c r="C12" s="43" t="s">
        <v>759</v>
      </c>
      <c r="D12" s="43" t="s">
        <v>762</v>
      </c>
      <c r="E12" s="43" t="s">
        <v>121</v>
      </c>
      <c r="F12" s="44">
        <v>0</v>
      </c>
      <c r="G12" s="43" t="s">
        <v>765</v>
      </c>
      <c r="H12" s="43" t="s">
        <v>131</v>
      </c>
      <c r="I12" s="45" t="s">
        <v>34</v>
      </c>
      <c r="J12" s="44">
        <v>0</v>
      </c>
    </row>
    <row r="13" spans="2:10" x14ac:dyDescent="0.2">
      <c r="B13" s="43"/>
      <c r="C13" s="43" t="s">
        <v>759</v>
      </c>
      <c r="D13" s="43" t="s">
        <v>766</v>
      </c>
      <c r="E13" s="43" t="s">
        <v>135</v>
      </c>
      <c r="F13" s="44">
        <v>0</v>
      </c>
      <c r="G13" s="43"/>
      <c r="H13" s="43" t="s">
        <v>136</v>
      </c>
      <c r="I13" s="45" t="s">
        <v>137</v>
      </c>
      <c r="J13" s="44">
        <v>0</v>
      </c>
    </row>
    <row r="14" spans="2:10" x14ac:dyDescent="0.2">
      <c r="B14" s="43"/>
      <c r="C14" s="43" t="s">
        <v>759</v>
      </c>
      <c r="D14" s="43" t="s">
        <v>760</v>
      </c>
      <c r="E14" s="43" t="s">
        <v>135</v>
      </c>
      <c r="F14" s="44">
        <v>0</v>
      </c>
      <c r="G14" s="43" t="s">
        <v>767</v>
      </c>
      <c r="H14" s="43" t="s">
        <v>136</v>
      </c>
      <c r="I14" s="45" t="s">
        <v>137</v>
      </c>
      <c r="J14" s="44">
        <v>0</v>
      </c>
    </row>
    <row r="15" spans="2:10" x14ac:dyDescent="0.2">
      <c r="B15" s="43"/>
      <c r="C15" s="43" t="s">
        <v>759</v>
      </c>
      <c r="D15" s="43" t="s">
        <v>763</v>
      </c>
      <c r="E15" s="43" t="s">
        <v>121</v>
      </c>
      <c r="F15" s="44">
        <v>0</v>
      </c>
      <c r="G15" s="43" t="s">
        <v>764</v>
      </c>
      <c r="H15" s="43" t="s">
        <v>139</v>
      </c>
      <c r="I15" s="45" t="s">
        <v>41</v>
      </c>
      <c r="J15" s="44">
        <v>0</v>
      </c>
    </row>
    <row r="16" spans="2:10" x14ac:dyDescent="0.2">
      <c r="B16" s="43"/>
      <c r="C16" s="43" t="s">
        <v>759</v>
      </c>
      <c r="D16" s="43" t="s">
        <v>760</v>
      </c>
      <c r="E16" s="43" t="s">
        <v>141</v>
      </c>
      <c r="F16" s="44">
        <v>0</v>
      </c>
      <c r="G16" s="43" t="s">
        <v>768</v>
      </c>
      <c r="H16" s="43" t="s">
        <v>142</v>
      </c>
      <c r="I16" s="45" t="s">
        <v>137</v>
      </c>
      <c r="J16" s="44">
        <v>0</v>
      </c>
    </row>
    <row r="17" spans="2:10" x14ac:dyDescent="0.2">
      <c r="B17" s="43"/>
      <c r="C17" s="43" t="s">
        <v>769</v>
      </c>
      <c r="D17" s="43" t="s">
        <v>770</v>
      </c>
      <c r="E17" s="43" t="s">
        <v>144</v>
      </c>
      <c r="F17" s="44">
        <v>0</v>
      </c>
      <c r="G17" s="43" t="s">
        <v>771</v>
      </c>
      <c r="H17" s="43" t="s">
        <v>145</v>
      </c>
      <c r="I17" s="45" t="s">
        <v>146</v>
      </c>
      <c r="J17" s="44">
        <v>0</v>
      </c>
    </row>
    <row r="18" spans="2:10" x14ac:dyDescent="0.2">
      <c r="B18" s="43"/>
      <c r="C18" s="43" t="s">
        <v>769</v>
      </c>
      <c r="D18" s="43" t="s">
        <v>770</v>
      </c>
      <c r="E18" s="43" t="s">
        <v>148</v>
      </c>
      <c r="F18" s="44">
        <v>0</v>
      </c>
      <c r="G18" s="43" t="s">
        <v>772</v>
      </c>
      <c r="H18" s="43" t="s">
        <v>149</v>
      </c>
      <c r="I18" s="45" t="s">
        <v>34</v>
      </c>
      <c r="J18" s="44">
        <v>0</v>
      </c>
    </row>
    <row r="19" spans="2:10" x14ac:dyDescent="0.2">
      <c r="B19" s="43"/>
      <c r="C19" s="43" t="s">
        <v>769</v>
      </c>
      <c r="D19" s="43" t="s">
        <v>770</v>
      </c>
      <c r="E19" s="43" t="s">
        <v>151</v>
      </c>
      <c r="F19" s="44">
        <v>0</v>
      </c>
      <c r="G19" s="43" t="s">
        <v>773</v>
      </c>
      <c r="H19" s="43" t="s">
        <v>152</v>
      </c>
      <c r="I19" s="45" t="s">
        <v>146</v>
      </c>
      <c r="J19" s="44">
        <v>0</v>
      </c>
    </row>
    <row r="20" spans="2:10" x14ac:dyDescent="0.2">
      <c r="B20" s="43"/>
      <c r="C20" s="43" t="s">
        <v>769</v>
      </c>
      <c r="D20" s="43" t="s">
        <v>770</v>
      </c>
      <c r="E20" s="43" t="s">
        <v>154</v>
      </c>
      <c r="F20" s="44">
        <v>0</v>
      </c>
      <c r="G20" s="43" t="s">
        <v>774</v>
      </c>
      <c r="H20" s="43" t="s">
        <v>155</v>
      </c>
      <c r="I20" s="45" t="s">
        <v>41</v>
      </c>
      <c r="J20" s="44">
        <v>0</v>
      </c>
    </row>
    <row r="21" spans="2:10" x14ac:dyDescent="0.2">
      <c r="B21" s="43"/>
      <c r="C21" s="43" t="s">
        <v>769</v>
      </c>
      <c r="D21" s="43" t="s">
        <v>770</v>
      </c>
      <c r="E21" s="43" t="s">
        <v>157</v>
      </c>
      <c r="F21" s="44">
        <v>0</v>
      </c>
      <c r="G21" s="43" t="s">
        <v>775</v>
      </c>
      <c r="H21" s="43" t="s">
        <v>158</v>
      </c>
      <c r="I21" s="45" t="s">
        <v>146</v>
      </c>
      <c r="J21" s="44">
        <v>0</v>
      </c>
    </row>
    <row r="22" spans="2:10" x14ac:dyDescent="0.2">
      <c r="B22" s="43"/>
      <c r="C22" s="43" t="s">
        <v>769</v>
      </c>
      <c r="D22" s="43" t="s">
        <v>770</v>
      </c>
      <c r="E22" s="43" t="s">
        <v>160</v>
      </c>
      <c r="F22" s="44">
        <v>0</v>
      </c>
      <c r="G22" s="43" t="s">
        <v>776</v>
      </c>
      <c r="H22" s="43" t="s">
        <v>161</v>
      </c>
      <c r="I22" s="45" t="s">
        <v>34</v>
      </c>
      <c r="J22" s="44">
        <v>0</v>
      </c>
    </row>
    <row r="23" spans="2:10" x14ac:dyDescent="0.2">
      <c r="B23" s="43"/>
      <c r="C23" s="43" t="s">
        <v>769</v>
      </c>
      <c r="D23" s="43" t="s">
        <v>770</v>
      </c>
      <c r="E23" s="43" t="s">
        <v>163</v>
      </c>
      <c r="F23" s="44">
        <v>0</v>
      </c>
      <c r="G23" s="43" t="s">
        <v>777</v>
      </c>
      <c r="H23" s="43" t="s">
        <v>164</v>
      </c>
      <c r="I23" s="45" t="s">
        <v>146</v>
      </c>
      <c r="J23" s="44">
        <v>0</v>
      </c>
    </row>
    <row r="24" spans="2:10" x14ac:dyDescent="0.2">
      <c r="B24" s="43"/>
      <c r="C24" s="43" t="s">
        <v>778</v>
      </c>
      <c r="D24" s="43"/>
      <c r="E24" s="43" t="s">
        <v>176</v>
      </c>
      <c r="F24" s="44">
        <v>0</v>
      </c>
      <c r="G24" s="43"/>
      <c r="H24" s="43"/>
      <c r="I24" s="45" t="s">
        <v>132</v>
      </c>
      <c r="J24" s="44">
        <v>0</v>
      </c>
    </row>
    <row r="25" spans="2:10" x14ac:dyDescent="0.2">
      <c r="B25" s="43"/>
      <c r="C25" s="43" t="s">
        <v>166</v>
      </c>
      <c r="D25" s="43"/>
      <c r="E25" s="43" t="s">
        <v>176</v>
      </c>
      <c r="F25" s="44">
        <v>0</v>
      </c>
      <c r="G25" s="43"/>
      <c r="H25" s="43"/>
      <c r="I25" s="45" t="s">
        <v>132</v>
      </c>
      <c r="J25" s="44">
        <v>0</v>
      </c>
    </row>
    <row r="26" spans="2:10" x14ac:dyDescent="0.2">
      <c r="B26" s="43"/>
      <c r="C26" s="43" t="s">
        <v>779</v>
      </c>
      <c r="D26" s="43"/>
      <c r="E26" s="43" t="s">
        <v>176</v>
      </c>
      <c r="F26" s="44">
        <v>0</v>
      </c>
      <c r="G26" s="43"/>
      <c r="H26" s="43"/>
      <c r="I26" s="45" t="s">
        <v>132</v>
      </c>
      <c r="J26" s="44">
        <v>0</v>
      </c>
    </row>
    <row r="29" spans="2:10" ht="16" customHeight="1" x14ac:dyDescent="0.2">
      <c r="B29" s="175" t="s">
        <v>780</v>
      </c>
      <c r="C29" s="176"/>
      <c r="D29" s="176"/>
      <c r="E29" s="176"/>
      <c r="F29" s="176"/>
      <c r="G29" s="176"/>
      <c r="H29" s="176"/>
      <c r="I29" s="177"/>
    </row>
    <row r="30" spans="2:10" ht="16" customHeight="1" x14ac:dyDescent="0.2">
      <c r="B30" s="183" t="s">
        <v>781</v>
      </c>
      <c r="C30" s="182"/>
      <c r="D30" s="183" t="s">
        <v>782</v>
      </c>
      <c r="E30" s="182"/>
      <c r="F30" s="183" t="s">
        <v>783</v>
      </c>
      <c r="G30" s="182"/>
      <c r="H30" s="183" t="s">
        <v>784</v>
      </c>
      <c r="I30" s="182"/>
    </row>
    <row r="31" spans="2:10" ht="30" customHeight="1" x14ac:dyDescent="0.2">
      <c r="B31" s="185">
        <v>0</v>
      </c>
      <c r="C31" s="182"/>
      <c r="D31" s="186">
        <v>0</v>
      </c>
      <c r="E31" s="182"/>
      <c r="F31" s="184">
        <v>0</v>
      </c>
      <c r="G31" s="182"/>
      <c r="H31" s="181">
        <v>0</v>
      </c>
      <c r="I31" s="182"/>
    </row>
  </sheetData>
  <mergeCells count="19">
    <mergeCell ref="D31:E31"/>
    <mergeCell ref="F3:G3"/>
    <mergeCell ref="F30:G30"/>
    <mergeCell ref="B1:I1"/>
    <mergeCell ref="B29:I29"/>
    <mergeCell ref="F31:G31"/>
    <mergeCell ref="D4:E4"/>
    <mergeCell ref="D3:E3"/>
    <mergeCell ref="H3:I3"/>
    <mergeCell ref="B30:C30"/>
    <mergeCell ref="D30:E30"/>
    <mergeCell ref="B4:C4"/>
    <mergeCell ref="H30:I30"/>
    <mergeCell ref="F4:G4"/>
    <mergeCell ref="B7:I7"/>
    <mergeCell ref="B3:C3"/>
    <mergeCell ref="H4:I4"/>
    <mergeCell ref="H31:I31"/>
    <mergeCell ref="B31:C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61B22"/>
  </sheetPr>
  <dimension ref="B1:G38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3" width="12" customWidth="1"/>
    <col min="4" max="4" width="28" customWidth="1"/>
    <col min="5" max="7" width="14" customWidth="1"/>
  </cols>
  <sheetData>
    <row r="1" spans="2:7" ht="30" customHeight="1" x14ac:dyDescent="0.2">
      <c r="B1" s="178" t="s">
        <v>785</v>
      </c>
      <c r="C1" s="179"/>
      <c r="D1" s="179"/>
      <c r="E1" s="179"/>
      <c r="F1" s="180"/>
    </row>
    <row r="3" spans="2:7" ht="16" customHeight="1" x14ac:dyDescent="0.2">
      <c r="D3" s="183" t="s">
        <v>786</v>
      </c>
      <c r="E3" s="182"/>
    </row>
    <row r="4" spans="2:7" ht="30" customHeight="1" x14ac:dyDescent="0.2">
      <c r="D4" s="181">
        <v>45862.41</v>
      </c>
      <c r="E4" s="182"/>
    </row>
    <row r="6" spans="2:7" ht="8" customHeight="1" x14ac:dyDescent="0.2"/>
    <row r="7" spans="2:7" ht="16" customHeight="1" x14ac:dyDescent="0.2">
      <c r="F7" s="1" t="s">
        <v>787</v>
      </c>
    </row>
    <row r="8" spans="2:7" ht="30" customHeight="1" x14ac:dyDescent="0.2">
      <c r="F8" s="46">
        <v>18934.669999999998</v>
      </c>
    </row>
    <row r="10" spans="2:7" ht="8" customHeight="1" x14ac:dyDescent="0.2"/>
    <row r="11" spans="2:7" ht="16" customHeight="1" x14ac:dyDescent="0.2">
      <c r="B11" s="175" t="s">
        <v>788</v>
      </c>
      <c r="C11" s="176"/>
      <c r="D11" s="176"/>
      <c r="E11" s="176"/>
      <c r="F11" s="177"/>
    </row>
    <row r="12" spans="2:7" ht="18" customHeight="1" x14ac:dyDescent="0.2">
      <c r="B12" s="2" t="s">
        <v>356</v>
      </c>
      <c r="C12" s="2" t="s">
        <v>57</v>
      </c>
      <c r="D12" s="2" t="s">
        <v>357</v>
      </c>
      <c r="G12" s="2" t="s">
        <v>789</v>
      </c>
    </row>
    <row r="13" spans="2:7" x14ac:dyDescent="0.2">
      <c r="B13" s="12">
        <v>46178</v>
      </c>
      <c r="C13" s="4" t="s">
        <v>10</v>
      </c>
      <c r="D13" s="4" t="s">
        <v>596</v>
      </c>
      <c r="E13" s="41">
        <v>-480</v>
      </c>
      <c r="F13" s="29"/>
      <c r="G13" s="29"/>
    </row>
    <row r="14" spans="2:7" x14ac:dyDescent="0.2">
      <c r="B14" s="10">
        <v>46170</v>
      </c>
      <c r="C14" s="7" t="s">
        <v>10</v>
      </c>
      <c r="D14" s="7" t="s">
        <v>596</v>
      </c>
      <c r="E14" s="9">
        <v>-450</v>
      </c>
      <c r="F14" s="30"/>
      <c r="G14" s="30"/>
    </row>
    <row r="15" spans="2:7" x14ac:dyDescent="0.2">
      <c r="B15" s="12">
        <v>46167</v>
      </c>
      <c r="C15" s="4" t="s">
        <v>10</v>
      </c>
      <c r="D15" s="4" t="s">
        <v>596</v>
      </c>
      <c r="E15" s="41">
        <v>-470</v>
      </c>
      <c r="F15" s="29"/>
      <c r="G15" s="29"/>
    </row>
    <row r="16" spans="2:7" x14ac:dyDescent="0.2">
      <c r="B16" s="10">
        <v>46166</v>
      </c>
      <c r="C16" s="7" t="s">
        <v>10</v>
      </c>
      <c r="D16" s="7" t="s">
        <v>632</v>
      </c>
      <c r="E16" s="9">
        <v>-700</v>
      </c>
      <c r="F16" s="30"/>
      <c r="G16" s="30"/>
    </row>
    <row r="17" spans="2:7" x14ac:dyDescent="0.2">
      <c r="B17" s="12">
        <v>46164</v>
      </c>
      <c r="C17" s="4" t="s">
        <v>10</v>
      </c>
      <c r="D17" s="4" t="s">
        <v>631</v>
      </c>
      <c r="E17" s="41">
        <v>-1500</v>
      </c>
      <c r="F17" s="29"/>
      <c r="G17" s="29"/>
    </row>
    <row r="18" spans="2:7" x14ac:dyDescent="0.2">
      <c r="B18" s="10">
        <v>46164</v>
      </c>
      <c r="C18" s="7" t="s">
        <v>10</v>
      </c>
      <c r="D18" s="7" t="s">
        <v>631</v>
      </c>
      <c r="E18" s="9">
        <v>-500</v>
      </c>
      <c r="F18" s="30"/>
      <c r="G18" s="30"/>
    </row>
    <row r="19" spans="2:7" x14ac:dyDescent="0.2">
      <c r="B19" s="12">
        <v>46160</v>
      </c>
      <c r="C19" s="4" t="s">
        <v>10</v>
      </c>
      <c r="D19" s="4" t="s">
        <v>360</v>
      </c>
      <c r="E19" s="41">
        <v>-20000</v>
      </c>
      <c r="F19" s="29"/>
      <c r="G19" s="29"/>
    </row>
    <row r="20" spans="2:7" x14ac:dyDescent="0.2">
      <c r="B20" s="10">
        <v>46140</v>
      </c>
      <c r="C20" s="7" t="s">
        <v>10</v>
      </c>
      <c r="D20" s="7" t="s">
        <v>620</v>
      </c>
      <c r="E20" s="9">
        <v>-50</v>
      </c>
      <c r="F20" s="30"/>
      <c r="G20" s="30"/>
    </row>
    <row r="21" spans="2:7" x14ac:dyDescent="0.2">
      <c r="B21" s="12">
        <v>46140</v>
      </c>
      <c r="C21" s="4" t="s">
        <v>10</v>
      </c>
      <c r="D21" s="4" t="s">
        <v>621</v>
      </c>
      <c r="E21" s="41">
        <v>-10</v>
      </c>
      <c r="F21" s="29"/>
      <c r="G21" s="29"/>
    </row>
    <row r="22" spans="2:7" x14ac:dyDescent="0.2">
      <c r="B22" s="10">
        <v>46140</v>
      </c>
      <c r="C22" s="7" t="s">
        <v>10</v>
      </c>
      <c r="D22" s="7" t="s">
        <v>596</v>
      </c>
      <c r="E22" s="9">
        <v>-470</v>
      </c>
      <c r="F22" s="30"/>
      <c r="G22" s="30"/>
    </row>
    <row r="23" spans="2:7" x14ac:dyDescent="0.2">
      <c r="B23" s="12">
        <v>46136</v>
      </c>
      <c r="C23" s="4" t="s">
        <v>10</v>
      </c>
      <c r="D23" s="4" t="s">
        <v>615</v>
      </c>
      <c r="E23" s="41">
        <v>-6800</v>
      </c>
      <c r="F23" s="29"/>
      <c r="G23" s="29"/>
    </row>
    <row r="24" spans="2:7" x14ac:dyDescent="0.2">
      <c r="B24" s="10">
        <v>46133</v>
      </c>
      <c r="C24" s="7" t="s">
        <v>10</v>
      </c>
      <c r="D24" s="7" t="s">
        <v>364</v>
      </c>
      <c r="E24" s="9">
        <v>-3000</v>
      </c>
      <c r="F24" s="30"/>
      <c r="G24" s="30"/>
    </row>
    <row r="25" spans="2:7" x14ac:dyDescent="0.2">
      <c r="B25" s="12">
        <v>46101</v>
      </c>
      <c r="C25" s="4" t="s">
        <v>10</v>
      </c>
      <c r="D25" s="4" t="s">
        <v>596</v>
      </c>
      <c r="E25" s="41">
        <v>-350</v>
      </c>
      <c r="F25" s="29"/>
      <c r="G25" s="29"/>
    </row>
    <row r="26" spans="2:7" x14ac:dyDescent="0.2">
      <c r="B26" s="10">
        <v>46098</v>
      </c>
      <c r="C26" s="7" t="s">
        <v>10</v>
      </c>
      <c r="D26" s="7" t="s">
        <v>591</v>
      </c>
      <c r="E26" s="9">
        <v>-500</v>
      </c>
      <c r="F26" s="30"/>
      <c r="G26" s="30"/>
    </row>
    <row r="27" spans="2:7" x14ac:dyDescent="0.2">
      <c r="B27" s="12">
        <v>46096</v>
      </c>
      <c r="C27" s="4" t="s">
        <v>10</v>
      </c>
      <c r="D27" s="4" t="s">
        <v>364</v>
      </c>
      <c r="E27" s="41">
        <v>-6000</v>
      </c>
      <c r="F27" s="29"/>
      <c r="G27" s="29"/>
    </row>
    <row r="28" spans="2:7" x14ac:dyDescent="0.2">
      <c r="B28" s="10">
        <v>46096</v>
      </c>
      <c r="C28" s="7" t="s">
        <v>10</v>
      </c>
      <c r="D28" s="7" t="s">
        <v>589</v>
      </c>
      <c r="E28" s="9">
        <v>-4582.41</v>
      </c>
      <c r="F28" s="30"/>
      <c r="G28" s="30"/>
    </row>
    <row r="29" spans="2:7" x14ac:dyDescent="0.2">
      <c r="G29" s="29"/>
    </row>
    <row r="30" spans="2:7" x14ac:dyDescent="0.2">
      <c r="G30" s="30"/>
    </row>
    <row r="31" spans="2:7" x14ac:dyDescent="0.2">
      <c r="G31" s="29"/>
    </row>
    <row r="32" spans="2:7" x14ac:dyDescent="0.2">
      <c r="G32" s="30"/>
    </row>
    <row r="33" spans="7:7" x14ac:dyDescent="0.2">
      <c r="G33" s="29"/>
    </row>
    <row r="34" spans="7:7" x14ac:dyDescent="0.2">
      <c r="G34" s="30"/>
    </row>
    <row r="35" spans="7:7" x14ac:dyDescent="0.2">
      <c r="G35" s="29"/>
    </row>
    <row r="36" spans="7:7" x14ac:dyDescent="0.2">
      <c r="G36" s="30"/>
    </row>
    <row r="37" spans="7:7" x14ac:dyDescent="0.2">
      <c r="G37" s="29"/>
    </row>
    <row r="38" spans="7:7" x14ac:dyDescent="0.2">
      <c r="G38" s="30"/>
    </row>
  </sheetData>
  <mergeCells count="4">
    <mergeCell ref="D3:E3"/>
    <mergeCell ref="B11:F11"/>
    <mergeCell ref="B1:F1"/>
    <mergeCell ref="D4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B1A1A"/>
  </sheetPr>
  <dimension ref="B1:H10"/>
  <sheetViews>
    <sheetView showGridLines="0" tabSelected="1" zoomScale="140" zoomScaleNormal="140" workbookViewId="0"/>
  </sheetViews>
  <sheetFormatPr baseColWidth="10" defaultColWidth="8.83203125" defaultRowHeight="15" x14ac:dyDescent="0.2"/>
  <cols>
    <col min="1" max="1" width="2" customWidth="1"/>
    <col min="2" max="2" width="6" customWidth="1"/>
    <col min="3" max="3" width="12" customWidth="1"/>
    <col min="4" max="4" width="16" customWidth="1"/>
    <col min="5" max="5" width="40" customWidth="1"/>
    <col min="6" max="6" width="16" customWidth="1"/>
    <col min="7" max="7" width="40" customWidth="1"/>
    <col min="8" max="8" width="16" customWidth="1"/>
  </cols>
  <sheetData>
    <row r="1" spans="2:8" ht="30" customHeight="1" x14ac:dyDescent="0.2">
      <c r="B1" s="178" t="s">
        <v>790</v>
      </c>
      <c r="C1" s="179"/>
      <c r="D1" s="179"/>
      <c r="E1" s="179"/>
      <c r="F1" s="179"/>
      <c r="G1" s="180"/>
    </row>
    <row r="3" spans="2:8" ht="18" customHeight="1" x14ac:dyDescent="0.2">
      <c r="B3" s="2" t="s">
        <v>13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791</v>
      </c>
      <c r="H3" s="2" t="s">
        <v>23</v>
      </c>
    </row>
    <row r="4" spans="2:8" ht="28" customHeight="1" x14ac:dyDescent="0.2">
      <c r="B4" s="47">
        <v>1</v>
      </c>
      <c r="C4" s="48" t="s">
        <v>25</v>
      </c>
      <c r="D4" s="49" t="s">
        <v>26</v>
      </c>
      <c r="E4" s="50" t="s">
        <v>792</v>
      </c>
      <c r="F4" s="51"/>
      <c r="G4" s="50" t="s">
        <v>793</v>
      </c>
      <c r="H4" s="47" t="s">
        <v>29</v>
      </c>
    </row>
    <row r="5" spans="2:8" ht="28" customHeight="1" x14ac:dyDescent="0.2">
      <c r="B5" s="47">
        <v>2</v>
      </c>
      <c r="C5" s="48" t="s">
        <v>25</v>
      </c>
      <c r="D5" s="49" t="s">
        <v>31</v>
      </c>
      <c r="E5" s="50" t="s">
        <v>794</v>
      </c>
      <c r="F5" s="51"/>
      <c r="G5" s="50" t="s">
        <v>795</v>
      </c>
      <c r="H5" s="47" t="s">
        <v>29</v>
      </c>
    </row>
    <row r="6" spans="2:8" ht="28" customHeight="1" x14ac:dyDescent="0.2">
      <c r="B6" s="47">
        <v>3</v>
      </c>
      <c r="C6" s="48" t="s">
        <v>34</v>
      </c>
      <c r="D6" s="49" t="s">
        <v>35</v>
      </c>
      <c r="E6" s="50" t="s">
        <v>796</v>
      </c>
      <c r="F6" s="52">
        <v>23196.9</v>
      </c>
      <c r="G6" s="50" t="s">
        <v>797</v>
      </c>
      <c r="H6" s="47" t="s">
        <v>29</v>
      </c>
    </row>
    <row r="7" spans="2:8" ht="28" customHeight="1" x14ac:dyDescent="0.2">
      <c r="B7" s="47">
        <v>4</v>
      </c>
      <c r="C7" s="48" t="s">
        <v>34</v>
      </c>
      <c r="D7" s="49" t="s">
        <v>38</v>
      </c>
      <c r="E7" s="50" t="s">
        <v>798</v>
      </c>
      <c r="F7" s="52">
        <v>6455.1</v>
      </c>
      <c r="G7" s="50" t="s">
        <v>799</v>
      </c>
      <c r="H7" s="47" t="s">
        <v>29</v>
      </c>
    </row>
    <row r="8" spans="2:8" ht="28" customHeight="1" x14ac:dyDescent="0.2">
      <c r="B8" s="47">
        <v>5</v>
      </c>
      <c r="C8" s="48" t="s">
        <v>41</v>
      </c>
      <c r="D8" s="49" t="s">
        <v>42</v>
      </c>
      <c r="E8" s="50" t="s">
        <v>800</v>
      </c>
      <c r="F8" s="52">
        <v>6624.3600000000006</v>
      </c>
      <c r="G8" s="50" t="s">
        <v>801</v>
      </c>
      <c r="H8" s="47" t="s">
        <v>29</v>
      </c>
    </row>
    <row r="9" spans="2:8" ht="28" customHeight="1" x14ac:dyDescent="0.2">
      <c r="B9" s="47">
        <v>6</v>
      </c>
      <c r="C9" s="48" t="s">
        <v>41</v>
      </c>
      <c r="D9" s="49" t="s">
        <v>45</v>
      </c>
      <c r="E9" s="50" t="s">
        <v>802</v>
      </c>
      <c r="F9" s="52">
        <v>9036.83</v>
      </c>
      <c r="G9" s="50" t="s">
        <v>803</v>
      </c>
      <c r="H9" s="47" t="s">
        <v>29</v>
      </c>
    </row>
    <row r="10" spans="2:8" ht="28" customHeight="1" x14ac:dyDescent="0.2">
      <c r="B10" s="47">
        <v>7</v>
      </c>
      <c r="C10" s="48" t="s">
        <v>41</v>
      </c>
      <c r="D10" s="49" t="s">
        <v>48</v>
      </c>
      <c r="E10" s="50" t="s">
        <v>804</v>
      </c>
      <c r="F10" s="52">
        <v>31570.45</v>
      </c>
      <c r="G10" s="50" t="s">
        <v>805</v>
      </c>
      <c r="H10" s="47" t="s">
        <v>29</v>
      </c>
    </row>
  </sheetData>
  <mergeCells count="1">
    <mergeCell ref="B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73</v>
      </c>
      <c r="B1" t="s">
        <v>9</v>
      </c>
      <c r="D1" t="s">
        <v>93</v>
      </c>
      <c r="E1" t="s">
        <v>806</v>
      </c>
      <c r="J1" t="s">
        <v>117</v>
      </c>
      <c r="K1" t="s">
        <v>115</v>
      </c>
    </row>
    <row r="2" spans="1:11" x14ac:dyDescent="0.2">
      <c r="A2" t="s">
        <v>78</v>
      </c>
      <c r="B2">
        <v>3745.4</v>
      </c>
      <c r="D2" t="s">
        <v>98</v>
      </c>
      <c r="E2">
        <v>9036.83</v>
      </c>
      <c r="J2" t="s">
        <v>128</v>
      </c>
      <c r="K2">
        <v>0</v>
      </c>
    </row>
    <row r="3" spans="1:11" x14ac:dyDescent="0.2">
      <c r="A3" t="s">
        <v>79</v>
      </c>
      <c r="B3">
        <v>9515.9</v>
      </c>
      <c r="D3" t="s">
        <v>100</v>
      </c>
      <c r="E3">
        <v>8744.68</v>
      </c>
      <c r="J3" t="s">
        <v>123</v>
      </c>
      <c r="K3">
        <v>0</v>
      </c>
    </row>
    <row r="4" spans="1:11" x14ac:dyDescent="0.2">
      <c r="A4" t="s">
        <v>80</v>
      </c>
      <c r="B4">
        <v>14231.47</v>
      </c>
      <c r="D4" t="s">
        <v>101</v>
      </c>
      <c r="E4">
        <v>6624.36</v>
      </c>
      <c r="J4" t="s">
        <v>132</v>
      </c>
      <c r="K4">
        <v>0</v>
      </c>
    </row>
    <row r="5" spans="1:11" x14ac:dyDescent="0.2">
      <c r="A5" t="s">
        <v>81</v>
      </c>
      <c r="B5">
        <v>5330.44</v>
      </c>
      <c r="D5" t="s">
        <v>103</v>
      </c>
      <c r="E5">
        <v>6455.1</v>
      </c>
    </row>
    <row r="6" spans="1:11" x14ac:dyDescent="0.2">
      <c r="A6" t="s">
        <v>82</v>
      </c>
      <c r="B6">
        <v>3308.38</v>
      </c>
      <c r="D6" t="s">
        <v>104</v>
      </c>
      <c r="E6">
        <v>2235.58</v>
      </c>
    </row>
    <row r="7" spans="1:11" x14ac:dyDescent="0.2">
      <c r="A7" t="s">
        <v>83</v>
      </c>
      <c r="B7">
        <v>1114.17</v>
      </c>
      <c r="D7" t="s">
        <v>106</v>
      </c>
      <c r="E7">
        <v>1413.12</v>
      </c>
    </row>
    <row r="8" spans="1:11" x14ac:dyDescent="0.2">
      <c r="D8" t="s">
        <v>108</v>
      </c>
      <c r="E8">
        <v>1227.5</v>
      </c>
    </row>
    <row r="9" spans="1:11" x14ac:dyDescent="0.2">
      <c r="D9" t="s">
        <v>109</v>
      </c>
      <c r="E9">
        <v>1217.92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B949E"/>
  </sheetPr>
  <dimension ref="A1:T1"/>
  <sheetViews>
    <sheetView showGridLines="0" workbookViewId="0"/>
  </sheetViews>
  <sheetFormatPr baseColWidth="10" defaultColWidth="8.83203125" defaultRowHeight="15" x14ac:dyDescent="0.2"/>
  <cols>
    <col min="1" max="21" width="10" customWidth="1"/>
  </cols>
  <sheetData>
    <row r="1" spans="1:20" ht="28" customHeight="1" x14ac:dyDescent="0.2">
      <c r="A1" s="178" t="s">
        <v>807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80"/>
    </row>
  </sheetData>
  <mergeCells count="1">
    <mergeCell ref="A1:T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 COMMAND CENTER</vt:lpstr>
      <vt:lpstr>CALC</vt:lpstr>
      <vt:lpstr>02 CAPITAL FLOWS</vt:lpstr>
      <vt:lpstr>05 LIFESTYLE</vt:lpstr>
      <vt:lpstr>06 SUBSCRIPTION MGR</vt:lpstr>
      <vt:lpstr>07 CASH BRIDGE</vt:lpstr>
      <vt:lpstr>08 ALERTS</vt:lpstr>
      <vt:lpstr>_DATA</vt:lpstr>
      <vt:lpstr>09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giovannini</cp:lastModifiedBy>
  <dcterms:created xsi:type="dcterms:W3CDTF">2026-07-14T07:44:14Z</dcterms:created>
  <dcterms:modified xsi:type="dcterms:W3CDTF">2026-09-18T19:17:39Z</dcterms:modified>
</cp:coreProperties>
</file>