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LANCES" sheetId="1" state="visible" r:id="rId3"/>
    <sheet name="FX_OPS" sheetId="2" state="visible" r:id="rId4"/>
    <sheet name="TRANSACTIONS" sheetId="3" state="visible" r:id="rId5"/>
    <sheet name="SUBSCRIPTIONS" sheetId="4" state="visible" r:id="rId6"/>
    <sheet name="PIX" sheetId="5" state="visible" r:id="rId7"/>
    <sheet name="REPOS" sheetId="6" state="visible" r:id="rId8"/>
    <sheet name="PROJECTS" sheetId="7" state="visible" r:id="rId9"/>
    <sheet name="CONFIG" sheetId="8" state="visible" r:id="rId10"/>
    <sheet name="MONTHLY" sheetId="9" state="visible" r:id="rId11"/>
    <sheet name="CATEGORIES" sheetId="10" state="visible" r:id="rId12"/>
    <sheet name="ALER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<sst xmlns="http://schemas.openxmlformats.org/spreadsheetml/2006/main" count="488" uniqueCount="488">
  <si>
    <t>◆ BALANCES — Bank &amp;amp; Investment Accounts</t>
  </si>
  <si>
    <t>Update balances weekly. Blue cells = your input. Black cells = formulas.</t>
  </si>
  <si>
    <t>Institution</t>
  </si>
  <si>
    <t>Type</t>
  </si>
  <si>
    <t>Balance (BRL)</t>
  </si>
  <si>
    <t>Balance (USD)</t>
  </si>
  <si>
    <t>Last Updated</t>
  </si>
  <si>
    <t>Status</t>
  </si>
  <si>
    <t>Notes</t>
  </si>
  <si>
    <t>Banco Inter</t>
  </si>
  <si>
    <t>Digital</t>
  </si>
  <si>
    <t>2026-07-13</t>
  </si>
  <si>
    <t>CONFIRMED</t>
  </si>
  <si>
    <t>Conta 662710-2 · R$18,922.07 disp + R$12.60 bloq</t>
  </si>
  <si>
    <t>Mercado Pago</t>
  </si>
  <si>
    <t>2026-07-12</t>
  </si>
  <si>
    <t>Extrato MP PDF 01-12/Jul/2026</t>
  </si>
  <si>
    <t>BB Brasil</t>
  </si>
  <si>
    <t>Checking</t>
  </si>
  <si>
    <t>Rende Fácil balance not in export</t>
  </si>
  <si>
    <t>TOTAL LIQUID</t>
  </si>
  <si>
    <t>◆ INVESTMENTS</t>
  </si>
  <si>
    <t>Instrument</t>
  </si>
  <si>
    <t>BRL Equiv</t>
  </si>
  <si>
    <t>USD Amount</t>
  </si>
  <si>
    <t>Period</t>
  </si>
  <si>
    <t>IB Net Deposits</t>
  </si>
  <si>
    <t>Brokerage</t>
  </si>
  <si>
    <t>Jan-Jun 2026</t>
  </si>
  <si>
    <t>DEPLOYED</t>
  </si>
  <si>
    <t>Auto: FX_OPS IB Deposit sum - IB Withdraw sum</t>
  </si>
  <si>
    <t>Fundos BRL — Topázio</t>
  </si>
  <si>
    <t>Fund</t>
  </si>
  <si>
    <t>May-Jun 2026</t>
  </si>
  <si>
    <t>Auto: FX_OPS Fund Deposit sum</t>
  </si>
  <si>
    <t>TOTAL INVESTMENTS</t>
  </si>
  <si>
    <t>EST. NET WORTH</t>
  </si>
  <si>
    <t>LEGEND</t>
  </si>
  <si>
    <t>🔵 Blue text = your input (edit these cells)</t>
  </si>
  <si>
    <t>⚫ Black text = formula (do not edit)</t>
  </si>
  <si>
    <t>🟢 Green text = cross-sheet formula (auto-calculated from FX_OPS)</t>
  </si>
  <si>
    <t>🟡 Yellow background = input cells</t>
  </si>
  <si>
    <t>◆ FX OPERATIONS — BCB Câmbio Register</t>
  </si>
  <si>
    <t>Append one row per BCB câmbio operation. Source: BCB Câmbio PDF.</t>
  </si>
  <si>
    <t>Date</t>
  </si>
  <si>
    <t>Destination</t>
  </si>
  <si>
    <t>CCY</t>
  </si>
  <si>
    <t>FCY Amount</t>
  </si>
  <si>
    <t>BRL Amount</t>
  </si>
  <si>
    <t>FX Rate</t>
  </si>
  <si>
    <t>Direction</t>
  </si>
  <si>
    <t>Nature</t>
  </si>
  <si>
    <t>2026-01-26</t>
  </si>
  <si>
    <t>Banco Topázio</t>
  </si>
  <si>
    <t>Interactive Brokers</t>
  </si>
  <si>
    <t>USD</t>
  </si>
  <si>
    <t>IB Deposit</t>
  </si>
  <si>
    <t>91992 IB deposit</t>
  </si>
  <si>
    <t>2026-01-27</t>
  </si>
  <si>
    <t>USA - Own Account</t>
  </si>
  <si>
    <t>Outbound</t>
  </si>
  <si>
    <t>67995 Self-transfer</t>
  </si>
  <si>
    <t>2026-01-30</t>
  </si>
  <si>
    <t>2026-02-09</t>
  </si>
  <si>
    <t>2026-02-11</t>
  </si>
  <si>
    <t>2026-03-03</t>
  </si>
  <si>
    <t>2026-03-13</t>
  </si>
  <si>
    <t>2026-03-18</t>
  </si>
  <si>
    <t>2026-04-22</t>
  </si>
  <si>
    <t>2026-04-30</t>
  </si>
  <si>
    <t>2026-05-07</t>
  </si>
  <si>
    <t>67995 via Inter</t>
  </si>
  <si>
    <t>2026-05-11</t>
  </si>
  <si>
    <t>2026-05-15</t>
  </si>
  <si>
    <t>Wise Brasil</t>
  </si>
  <si>
    <t>UK - Eduardo Giovannini</t>
  </si>
  <si>
    <t>67995 Wise UK</t>
  </si>
  <si>
    <t>2026-05-18</t>
  </si>
  <si>
    <t>91992 IB via Wise</t>
  </si>
  <si>
    <t>2026-05-19</t>
  </si>
  <si>
    <t>2026-05-20</t>
  </si>
  <si>
    <t>2026-05-22</t>
  </si>
  <si>
    <t>Fundos investimento BRL</t>
  </si>
  <si>
    <t>BRL</t>
  </si>
  <si>
    <t>Fund Deposit</t>
  </si>
  <si>
    <t>67043 Fund capital</t>
  </si>
  <si>
    <t>2026-05-26</t>
  </si>
  <si>
    <t>2026-05-28</t>
  </si>
  <si>
    <t>2026-06-05</t>
  </si>
  <si>
    <t>USA → Eduardo Forster Giovannini</t>
  </si>
  <si>
    <t>Inbound</t>
  </si>
  <si>
    <t>72629 Inbound from USA</t>
  </si>
  <si>
    <t>2026-06-16</t>
  </si>
  <si>
    <t>Ouribank</t>
  </si>
  <si>
    <t>Inbound payment order</t>
  </si>
  <si>
    <t>72629 Inbound payment order</t>
  </si>
  <si>
    <t>2026-06-19</t>
  </si>
  <si>
    <t>2026-06-22</t>
  </si>
  <si>
    <t>2026-06-26</t>
  </si>
  <si>
    <t>IB Withdraw</t>
  </si>
  <si>
    <t>91992 IB withdrawal</t>
  </si>
  <si>
    <t>◆ DIRECTION SUMMARY</t>
  </si>
  <si>
    <t>Count</t>
  </si>
  <si>
    <t>BRL Total</t>
  </si>
  <si>
    <t>FCY Total</t>
  </si>
  <si>
    <t>Avg Rate</t>
  </si>
  <si>
    <t>◆ TRANSACTIONS — MP Faturas Card Statement</t>
  </si>
  <si>
    <t>Paste new transactions when each fatura closes. 146 entries Jan-Jun 2026.</t>
  </si>
  <si>
    <t>#</t>
  </si>
  <si>
    <t>Fatura</t>
  </si>
  <si>
    <t>Merchant</t>
  </si>
  <si>
    <t>Value (BRL)</t>
  </si>
  <si>
    <t>Category</t>
  </si>
  <si>
    <t>International</t>
  </si>
  <si>
    <t>2026-01-06</t>
  </si>
  <si>
    <t>2026-02</t>
  </si>
  <si>
    <t>IFD*PIZZA NOW INTERMARES</t>
  </si>
  <si>
    <t>Delivery/iFood</t>
  </si>
  <si>
    <t>Não</t>
  </si>
  <si>
    <t>2026-01-08</t>
  </si>
  <si>
    <t>OPENAI *CHATGPT SUBSCR</t>
  </si>
  <si>
    <t>IA/Tecnologia</t>
  </si>
  <si>
    <t>Sim</t>
  </si>
  <si>
    <t>APPLE.COM/BILL</t>
  </si>
  <si>
    <t>Assinatura</t>
  </si>
  <si>
    <t>2026-01-10</t>
  </si>
  <si>
    <t>IFD*34531468 EDWIN LEI</t>
  </si>
  <si>
    <t>2026-01-14</t>
  </si>
  <si>
    <t>MANUS AI</t>
  </si>
  <si>
    <t>2026-01-15</t>
  </si>
  <si>
    <t>DL*Starlink Braz</t>
  </si>
  <si>
    <t>Internet</t>
  </si>
  <si>
    <t>2026-01-16</t>
  </si>
  <si>
    <t>MP*LOTERIASONLINEU1AQ</t>
  </si>
  <si>
    <t>Loteria</t>
  </si>
  <si>
    <t>IFD*FORMAGGIO RESTAURANTE</t>
  </si>
  <si>
    <t>2026-01-17</t>
  </si>
  <si>
    <t>MP*LOTERIASONLINE542V</t>
  </si>
  <si>
    <t>2026-01-19</t>
  </si>
  <si>
    <t>LEMSQZY* PINEAPPLE-APP</t>
  </si>
  <si>
    <t>2026-01-21</t>
  </si>
  <si>
    <t>CLAUDE.AI SUBSCRIPTION</t>
  </si>
  <si>
    <t>RAYCAST.COM</t>
  </si>
  <si>
    <t>Outros</t>
  </si>
  <si>
    <t>2026-01-28</t>
  </si>
  <si>
    <t>2026-02-03</t>
  </si>
  <si>
    <t>DESKTOP COMMANDER</t>
  </si>
  <si>
    <t>2026-02-04</t>
  </si>
  <si>
    <t>MP*LOTERIASONLINEM4UQ</t>
  </si>
  <si>
    <t>2026-02-05</t>
  </si>
  <si>
    <t>MP*LOTERIASONLINEYY48</t>
  </si>
  <si>
    <t>2026-03</t>
  </si>
  <si>
    <t>MERCADOLIVRE*3PRODUTOS</t>
  </si>
  <si>
    <t>Compras/ML</t>
  </si>
  <si>
    <t>2026-02-14</t>
  </si>
  <si>
    <t>ANTHROPIC</t>
  </si>
  <si>
    <t>MP*LOTERIASONLINEO4M4</t>
  </si>
  <si>
    <t>2026-02-16</t>
  </si>
  <si>
    <t>DL *Starlink Brazil</t>
  </si>
  <si>
    <t>2026-02-17</t>
  </si>
  <si>
    <t>2026-02-21</t>
  </si>
  <si>
    <t>2026-03-05</t>
  </si>
  <si>
    <t>2026-04</t>
  </si>
  <si>
    <t>2026-03-08</t>
  </si>
  <si>
    <t>MERCADOLIVRE*7PRODUTOS</t>
  </si>
  <si>
    <t>GITHUB, INC.</t>
  </si>
  <si>
    <t>2026-03-10</t>
  </si>
  <si>
    <t>LAN AIRLINE</t>
  </si>
  <si>
    <t>Viagem</t>
  </si>
  <si>
    <t>OPENROUTER, INC</t>
  </si>
  <si>
    <t>2026-03-14</t>
  </si>
  <si>
    <t>STARLINK INTERNET</t>
  </si>
  <si>
    <t>2026-03-17</t>
  </si>
  <si>
    <t>2026-03-21</t>
  </si>
  <si>
    <t>2026-03-30</t>
  </si>
  <si>
    <t>GROK XAI</t>
  </si>
  <si>
    <t>2026-04-01</t>
  </si>
  <si>
    <t>CURSOR AI POWERED IDE</t>
  </si>
  <si>
    <t>2026-04-05</t>
  </si>
  <si>
    <t>2026-05</t>
  </si>
  <si>
    <t>2026-04-17</t>
  </si>
  <si>
    <t>2026-04-20</t>
  </si>
  <si>
    <t>MICROSOFT*STORE</t>
  </si>
  <si>
    <t>2026-04-21</t>
  </si>
  <si>
    <t>2026-04-23</t>
  </si>
  <si>
    <t>CLOUDFLARE</t>
  </si>
  <si>
    <t>2026-04-27</t>
  </si>
  <si>
    <t>PERPLEXITY.AI</t>
  </si>
  <si>
    <t>2026-05-01</t>
  </si>
  <si>
    <t>2026-05-03</t>
  </si>
  <si>
    <t>2026-05-06</t>
  </si>
  <si>
    <t>2026-06</t>
  </si>
  <si>
    <t>2026-05-08</t>
  </si>
  <si>
    <t>2026-05-17</t>
  </si>
  <si>
    <t>DL*GOOGLE YouTub</t>
  </si>
  <si>
    <t>2026-05-30</t>
  </si>
  <si>
    <t>2026-06-01</t>
  </si>
  <si>
    <t>2026-06-03</t>
  </si>
  <si>
    <t>CONTA VIVO</t>
  </si>
  <si>
    <t>Telecomunicações</t>
  </si>
  <si>
    <t>2026-06-04</t>
  </si>
  <si>
    <t>◆ SUMMARY</t>
  </si>
  <si>
    <t>TOTAL</t>
  </si>
  <si>
    <t>TX COUNT</t>
  </si>
  <si>
    <t>⚠ This contains a representative 59-tx subset. Paste full 146-tx MP Faturas data to replace.</t>
  </si>
  <si>
    <t>◆ SUBSCRIPTIONS — 15 Services Tracked</t>
  </si>
  <si>
    <t>Update decisions and status. Renewal dates from Apple Subscriptions export.</t>
  </si>
  <si>
    <t>Service</t>
  </si>
  <si>
    <t>Plan</t>
  </si>
  <si>
    <t>Email</t>
  </si>
  <si>
    <t>Monthly BRL</t>
  </si>
  <si>
    <t>Dup Risk</t>
  </si>
  <si>
    <t>Decision</t>
  </si>
  <si>
    <t>Renewal Date</t>
  </si>
  <si>
    <t>Claude</t>
  </si>
  <si>
    <t>Pro</t>
  </si>
  <si>
    <t>automacao.giovannini@gmail.com</t>
  </si>
  <si>
    <t>AI - General/Coding</t>
  </si>
  <si>
    <t>HIGH</t>
  </si>
  <si>
    <t>CANCEL</t>
  </si>
  <si>
    <t>2026-07-15</t>
  </si>
  <si>
    <t>Pending</t>
  </si>
  <si>
    <t>cadastros.online1979@gmail.com</t>
  </si>
  <si>
    <t>ChatGPT</t>
  </si>
  <si>
    <t>Plus</t>
  </si>
  <si>
    <t>giovannini.eduardo@gmail.com</t>
  </si>
  <si>
    <t>AI - General Assistant</t>
  </si>
  <si>
    <t>MEDIUM</t>
  </si>
  <si>
    <t>KEEP</t>
  </si>
  <si>
    <t>Active</t>
  </si>
  <si>
    <t>Google</t>
  </si>
  <si>
    <t>AI - General/Workspace</t>
  </si>
  <si>
    <t>REVIEW</t>
  </si>
  <si>
    <t>Manus</t>
  </si>
  <si>
    <t>Credits</t>
  </si>
  <si>
    <t>cadastro.giovannini@gmail.com</t>
  </si>
  <si>
    <t>UNK</t>
  </si>
  <si>
    <t>AI - Agent/Credits</t>
  </si>
  <si>
    <t>UNKNOWN</t>
  </si>
  <si>
    <t>Unknown</t>
  </si>
  <si>
    <t>Cursor</t>
  </si>
  <si>
    <t>AI - Coding Assistant</t>
  </si>
  <si>
    <t>Desktop Commander</t>
  </si>
  <si>
    <t>Unlimited</t>
  </si>
  <si>
    <t>AI - Desktop Automation</t>
  </si>
  <si>
    <t>Filmora9</t>
  </si>
  <si>
    <t>Annual</t>
  </si>
  <si>
    <t>Creative/Productivity</t>
  </si>
  <si>
    <t>LOW</t>
  </si>
  <si>
    <t>2026-07-08</t>
  </si>
  <si>
    <t>Grok</t>
  </si>
  <si>
    <t>SuperGrok</t>
  </si>
  <si>
    <t>AI - General/Media</t>
  </si>
  <si>
    <t>2026-09-14</t>
  </si>
  <si>
    <t>iCloud+</t>
  </si>
  <si>
    <t>200 GB</t>
  </si>
  <si>
    <t>Cloud/Storage</t>
  </si>
  <si>
    <t>2026-07-10</t>
  </si>
  <si>
    <t>Microsoft 365</t>
  </si>
  <si>
    <t>Personal</t>
  </si>
  <si>
    <t>Productivity/Cloud</t>
  </si>
  <si>
    <t>2027-06-20</t>
  </si>
  <si>
    <t>NordVPN</t>
  </si>
  <si>
    <t>Security/VPN</t>
  </si>
  <si>
    <t>2026-10-06</t>
  </si>
  <si>
    <t>Perplexity</t>
  </si>
  <si>
    <t>Pro Mac</t>
  </si>
  <si>
    <t>AI - Research</t>
  </si>
  <si>
    <t>2026-06-30</t>
  </si>
  <si>
    <t>TuneIn Radio</t>
  </si>
  <si>
    <t>Premium</t>
  </si>
  <si>
    <t>Entertainment</t>
  </si>
  <si>
    <t>2026-07-23</t>
  </si>
  <si>
    <t>◆ DECISION SUMMARY</t>
  </si>
  <si>
    <t>KEEP total/mo</t>
  </si>
  <si>
    <t>CANCEL savings/mo</t>
  </si>
  <si>
    <t>REVIEW total/mo</t>
  </si>
  <si>
    <t>CANCEL savings/yr</t>
  </si>
  <si>
    <t>TOTAL STACK/mo</t>
  </si>
  <si>
    <t>◆ PIX — Banco Inter Cash Bridge · Account 6627102</t>
  </si>
  <si>
    <t>Paste from Inter extrato. PIX + Câmbio + IOF movements.</t>
  </si>
  <si>
    <t>Counterpart</t>
  </si>
  <si>
    <t>PIX Amount</t>
  </si>
  <si>
    <t>FX Amount</t>
  </si>
  <si>
    <t>IOF Amount</t>
  </si>
  <si>
    <t>2026-06-28</t>
  </si>
  <si>
    <t>PIX In</t>
  </si>
  <si>
    <t>Eduardo Forster Giovannini</t>
  </si>
  <si>
    <t>Eduardo F Giovannini</t>
  </si>
  <si>
    <t>2026-06-25</t>
  </si>
  <si>
    <t>PIX Out</t>
  </si>
  <si>
    <t>Eduardo Silva Dos Santos</t>
  </si>
  <si>
    <t>2026-05-25</t>
  </si>
  <si>
    <t>2026-05-24</t>
  </si>
  <si>
    <t>Moacir Jose De Morais Filho</t>
  </si>
  <si>
    <t>Lucas Rique Chaves Bezerra</t>
  </si>
  <si>
    <t>Sbct Tech Solutions Llc</t>
  </si>
  <si>
    <t>Eduardo Giovannini</t>
  </si>
  <si>
    <t>Wise Brasil Corretora De Cambio Ltda</t>
  </si>
  <si>
    <t>Câmbio</t>
  </si>
  <si>
    <t>Envio - remessa internacional</t>
  </si>
  <si>
    <t>IOF</t>
  </si>
  <si>
    <t>IOF - Operação de câmbio</t>
  </si>
  <si>
    <t>2026-04-28</t>
  </si>
  <si>
    <t>Gloria Raquel M C Nobrega</t>
  </si>
  <si>
    <t>Mag Administracao De Negocios Ltda</t>
  </si>
  <si>
    <t>2026-04-24</t>
  </si>
  <si>
    <t>Jose Periclis De Sousa Da Costa</t>
  </si>
  <si>
    <t>2026-03-20</t>
  </si>
  <si>
    <t>Iago Kevyn Santos Moura</t>
  </si>
  <si>
    <t>2026-03-15</t>
  </si>
  <si>
    <t>Mercado Pago Instituicao De Pagamento Ltda</t>
  </si>
  <si>
    <t>Net PIX Flow</t>
  </si>
  <si>
    <t>Total Câmbio Out</t>
  </si>
  <si>
    <t>Total IOF Paid</t>
  </si>
  <si>
    <t>◆ REPOS — Git Repository Health · ~/Documents/GitHub</t>
  </si>
  <si>
    <t>Update via rescan-repos.zsh output. Currently 2 repos on iMac M3.</t>
  </si>
  <si>
    <t>Name</t>
  </si>
  <si>
    <t>Branch</t>
  </si>
  <si>
    <t>Dirty Files</t>
  </si>
  <si>
    <t>Last Commit</t>
  </si>
  <si>
    <t>Days Since</t>
  </si>
  <si>
    <t>Remote</t>
  </si>
  <si>
    <t>Language</t>
  </si>
  <si>
    <t>Risk Score</t>
  </si>
  <si>
    <t>financas-2026</t>
  </si>
  <si>
    <t>dirty</t>
  </si>
  <si>
    <t>main</t>
  </si>
  <si>
    <t>2026-07-14</t>
  </si>
  <si>
    <t>github.com/AUTOGIO/financas-2026</t>
  </si>
  <si>
    <t>Python</t>
  </si>
  <si>
    <t>Primary finance workspace · command-center source</t>
  </si>
  <si>
    <t>MacHealthOS</t>
  </si>
  <si>
    <t>github.com/AUTOGIO/MacHealthOS</t>
  </si>
  <si>
    <t>Swift</t>
  </si>
  <si>
    <t>Mac system health monitoring</t>
  </si>
  <si>
    <t>◆ STATUS SUMMARY</t>
  </si>
  <si>
    <t>Total Repos</t>
  </si>
  <si>
    <t>Clean</t>
  </si>
  <si>
    <t>Dirty</t>
  </si>
  <si>
    <t>Broken</t>
  </si>
  <si>
    <t>Add more repos as you clone them to the iMac. Run rescan-repos.zsh to auto-populate.</t>
  </si>
  <si>
    <t>◆ PROJECTS — Operational Status Board</t>
  </si>
  <si>
    <t>Manual update. One row per active project. This is NOT automated — it is your 2-min status board.</t>
  </si>
  <si>
    <t>Project</t>
  </si>
  <si>
    <t>Current Focus</t>
  </si>
  <si>
    <t>Blocker</t>
  </si>
  <si>
    <t>Next Action</t>
  </si>
  <si>
    <t>Last Touched</t>
  </si>
  <si>
    <t>Priority</t>
  </si>
  <si>
    <t>Command Center build</t>
  </si>
  <si>
    <t>None</t>
  </si>
  <si>
    <t>Complete xlsx + html</t>
  </si>
  <si>
    <t>iMac M3 setup from zero</t>
  </si>
  <si>
    <t>Continue system configuration</t>
  </si>
  <si>
    <t>Global Retirement ETF</t>
  </si>
  <si>
    <t>Paused</t>
  </si>
  <si>
    <t>Portfolio architecture</t>
  </si>
  <si>
    <t>Waiting for iMac setup</t>
  </si>
  <si>
    <t>Clone repo to iMac when ready</t>
  </si>
  <si>
    <t>IBKR-Excel-Bridge</t>
  </si>
  <si>
    <t>IB → Excel snapshots</t>
  </si>
  <si>
    <t>Needs TWS on iMac</t>
  </si>
  <si>
    <t>Install TWS, clone repo</t>
  </si>
  <si>
    <t>PersonalLifeOS</t>
  </si>
  <si>
    <t>SwiftUI habits/schedule</t>
  </si>
  <si>
    <t>Needs clean Xcode build</t>
  </si>
  <si>
    <t>Verify build on MBA, then clone</t>
  </si>
  <si>
    <t>AUTOGIO_PIOS</t>
  </si>
  <si>
    <t>UniFi/Starlink health</t>
  </si>
  <si>
    <t>WAN stability gate reset</t>
  </si>
  <si>
    <t>Re-run WAN gate when on iMac</t>
  </si>
  <si>
    <t>◆ COUNTS</t>
  </si>
  <si>
    <t>Blocked</t>
  </si>
  <si>
    <t>◆ CONFIG — Alert Thresholds &amp;amp; Parameters</t>
  </si>
  <si>
    <t>Edit values to change what triggers alerts in the Command Center.</t>
  </si>
  <si>
    <t>Parameter</t>
  </si>
  <si>
    <t>Value</t>
  </si>
  <si>
    <t>Unit</t>
  </si>
  <si>
    <t>Liquidity Floor</t>
  </si>
  <si>
    <t>Alert if TOTAL LIQUID &amp;lt; this value</t>
  </si>
  <si>
    <t>Monthly Burn Cap</t>
  </si>
  <si>
    <t>Alert if card spend in any month exceeds this</t>
  </si>
  <si>
    <t>Subscription Stack Cap</t>
  </si>
  <si>
    <t>BRL/mo</t>
  </si>
  <si>
    <t>Alert if total KEEP subscriptions &amp;gt; this</t>
  </si>
  <si>
    <t>Repo Staleness Days</t>
  </si>
  <si>
    <t>days</t>
  </si>
  <si>
    <t>Risk score +5 if repo has no commit in this many days</t>
  </si>
  <si>
    <t>FX Rate Low Alert</t>
  </si>
  <si>
    <t>BRL/USD</t>
  </si>
  <si>
    <t>Alert if any FX op below this rate</t>
  </si>
  <si>
    <t>FX Rate High Alert</t>
  </si>
  <si>
    <t>Alert if any FX op above this rate</t>
  </si>
  <si>
    <t>Cancel Savings Target</t>
  </si>
  <si>
    <t>Expected monthly savings from CANCEL queue</t>
  </si>
  <si>
    <t>Renewal Warning Days</t>
  </si>
  <si>
    <t>Alert when a subscription renewal is within this many days</t>
  </si>
  <si>
    <t>Project Stale Days</t>
  </si>
  <si>
    <t>Alert if active project not touched in this many days</t>
  </si>
  <si>
    <t>Net Worth Currency</t>
  </si>
  <si>
    <t>All amounts denominated in BRL unless marked USD</t>
  </si>
  <si>
    <t>Report Period</t>
  </si>
  <si>
    <t>H1 2026</t>
  </si>
  <si>
    <t>Owner</t>
  </si>
  <si>
    <t>CPF redacted</t>
  </si>
  <si>
    <t>◆ MONTHLY — Cash Flow Summary · Jan–Jun 2026</t>
  </si>
  <si>
    <t>One row per month. Card from TRANSACTIONS, PIX from PIX tab, FX from FX_OPS. Update when new month closes.</t>
  </si>
  <si>
    <t>Month</t>
  </si>
  <si>
    <t>Card Spend</t>
  </si>
  <si>
    <t>Txs</t>
  </si>
  <si>
    <t>FX Out</t>
  </si>
  <si>
    <t>FX In</t>
  </si>
  <si>
    <t>Net Flow</t>
  </si>
  <si>
    <t>2026-01</t>
  </si>
  <si>
    <t>TOTAL H1 2026</t>
  </si>
  <si>
    <t>AVG/MONTH</t>
  </si>
  <si>
    <t>◆ MoM CHANGES — Card Spend</t>
  </si>
  <si>
    <t>Spend</t>
  </si>
  <si>
    <t>Prior Month</t>
  </si>
  <si>
    <t>MoM %</t>
  </si>
  <si>
    <t>◆ CATEGORIES — Card Spend Breakdown · H1 2026</t>
  </si>
  <si>
    <t>Sorted largest to smallest. Update when full transaction data changes.</t>
  </si>
  <si>
    <t>Total (R$)</t>
  </si>
  <si>
    <t>% of Card</t>
  </si>
  <si>
    <t>Avg/Month</t>
  </si>
  <si>
    <t>Classification</t>
  </si>
  <si>
    <t>💡 Discretionary</t>
  </si>
  <si>
    <t>⚠ Review</t>
  </si>
  <si>
    <t>❓ Unknown</t>
  </si>
  <si>
    <t>✅ Essential</t>
  </si>
  <si>
    <t>Transporte</t>
  </si>
  <si>
    <t>◆ BY CLASSIFICATION</t>
  </si>
  <si>
    <t>◆ ALERTS — Risk &amp;amp; Action Register · Cross-Domain</t>
  </si>
  <si>
    <t>Full alert register. Sources: finance, subscriptions, repos, projects. Update status as resolved.</t>
  </si>
  <si>
    <t>Severity</t>
  </si>
  <si>
    <t>Domain</t>
  </si>
  <si>
    <t>Finding</t>
  </si>
  <si>
    <t>BRL Exposure</t>
  </si>
  <si>
    <t>Recommended Action</t>
  </si>
  <si>
    <t>CRITICAL</t>
  </si>
  <si>
    <t>Subscriptions</t>
  </si>
  <si>
    <t>CANCEL queue: Claude x2 (R$184/mo) + Grok (R$149.90/mo) + TuneIn (R$31.90/mo) = R$365.80/mo</t>
  </si>
  <si>
    <t>Cancel all 4 before next billing. Apple Subscriptions + app accounts.</t>
  </si>
  <si>
    <t>FX Reconciliation</t>
  </si>
  <si>
    <t>R$652,789 sent to USA Own Account (67995). 19 ops Jan-Jun. Validate USD balances vs BCB.</t>
  </si>
  <si>
    <t>Pull USD account statement. Reconcile each BCB op against balance.</t>
  </si>
  <si>
    <t>Sub Stack Bloat</t>
  </si>
  <si>
    <t>6 services in REVIEW. Annual exposure ~R$7,763. Manus credits uncontrolled.</t>
  </si>
  <si>
    <t>Audit each REVIEW service. Decide KEEP/CANCEL. Target: eliminate ≥3.</t>
  </si>
  <si>
    <t>Liquidity</t>
  </si>
  <si>
    <t>100% liquid in 2 digital banks (Inter + MP = R$23,197). BB balance R$0. Below R$30k target.</t>
  </si>
  <si>
    <t>Maintain R$30k+ buffer. Distribute across BB Rende Fácil + Inter.</t>
  </si>
  <si>
    <t>IOF + FX Cost</t>
  </si>
  <si>
    <t>R$3,475 IOF paid on Inter FX. Compare rates across Wise / Topázio / BB.</t>
  </si>
  <si>
    <t>Review IOF rate per op. Compare institutions for next transfers.</t>
  </si>
  <si>
    <t>IB Withdrawal</t>
  </si>
  <si>
    <t>R$19,196 IB withdrawal via Wise Jun/2026. Destination unconfirmed.</t>
  </si>
  <si>
    <t>Confirm destination. Check Inter + IB statements.</t>
  </si>
  <si>
    <t>Lottery/Gambling</t>
  </si>
  <si>
    <t>R$6,455 Loteria on MP card (39 txs). No budget cap. Avg R$1,076/mo.</t>
  </si>
  <si>
    <t>Set monthly Loteria limit R$500. Remove card if exceeded.</t>
  </si>
  <si>
    <t>AI/Tech Overlap</t>
  </si>
  <si>
    <t>R$6,624 via card on IA/Tech (37 txs). Likely duplicates subscription stack.</t>
  </si>
  <si>
    <t>Cross-match card IA charges vs sub list. Consolidate billing method.</t>
  </si>
  <si>
    <t>Travel/Viagem</t>
  </si>
  <si>
    <t>R$9,037 travel charges (LAN Airlines Mar/2026). Business vs personal unclassified.</t>
  </si>
  <si>
    <t>Classify: business vs personal. Flag deductible items.</t>
  </si>
  <si>
    <t>ML Volume</t>
  </si>
  <si>
    <t>R$31,570 Mercado Livre purchases. Strong Home Office + CPAP pattern. No tags.</t>
  </si>
  <si>
    <t>Tag each purchase: CAPEX / HEALTH / CONSUMABLE for tax tracking.</t>
  </si>
  <si>
    <t>Multiple Wise ops (IB deposits + UK transfers). Ensure BACEN reporting.</t>
  </si>
  <si>
    <t>Confirm BACEN reporting compliance. Keep KYC current.</t>
  </si>
  <si>
    <t>Monitor</t>
  </si>
  <si>
    <t>SBCT Tech Solutions</t>
  </si>
  <si>
    <t>R$45,000 PIX Out to SBCT Tech Solutions LLC (USA) via Inter May/2026.</t>
  </si>
  <si>
    <t>Confirm nature: service invoice? investment? Ensure documentation.</t>
  </si>
  <si>
    <t>Total</t>
  </si>
  <si>
    <t>Cancelled</t>
  </si>
  <si>
    <t>clean</t>
  </si>
  <si>
    <t>Personal_Finance</t>
  </si>
  <si>
    <t>Wealth + ops dashboards</t>
  </si>
  <si>
    <t>Weekly ops pass: balances + transactions</t>
  </si>
  <si>
    <t>2026-09-07</t>
  </si>
  <si>
    <t>fix/report-accuracy-v1</t>
  </si>
  <si>
    <t>github.com/AUTOGIO/Personal_Finance_Dashboards</t>
  </si>
  <si>
    <t>Wealth + ops dashboards · uncommitted: unfreeze edits</t>
  </si>
  <si>
    <t>Mac system health · clean, on feature branch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</si>
</sst>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000"/>
    <numFmt numFmtId="167" formatCode="#,##0.00;[RED]\-#,##0.00"/>
    <numFmt numFmtId="168" formatCode="#,##0"/>
    <numFmt numFmtId="169" formatCode="0"/>
    <numFmt numFmtId="170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6600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660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FFFFF0"/>
        <bgColor rgb="FFFFFFFF"/>
      </patternFill>
    </fill>
    <fill>
      <patternFill patternType="solid">
        <fgColor rgb="FFFFF3E0"/>
        <bgColor rgb="FFF5F5F5"/>
      </patternFill>
    </fill>
    <fill>
      <patternFill patternType="solid">
        <fgColor rgb="FFFFE0B2"/>
        <bgColor rgb="FFFFF3E0"/>
      </patternFill>
    </fill>
    <fill>
      <patternFill patternType="solid">
        <fgColor rgb="FFF5F5F5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660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E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FF0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18934.67</v>
      </c>
      <c r="E5" s="6" t="s">
        <v>11</v>
      </c>
      <c r="F5" s="4" t="s">
        <v>12</v>
      </c>
      <c r="G5" s="7" t="s">
        <v>13</v>
      </c>
    </row>
    <row r="6" customFormat="false" ht="15" hidden="false" customHeight="false" outlineLevel="0" collapsed="false">
      <c r="A6" s="4" t="s">
        <v>14</v>
      </c>
      <c r="B6" s="4" t="s">
        <v>10</v>
      </c>
      <c r="C6" s="5" t="n">
        <v>4262.23</v>
      </c>
      <c r="E6" s="6" t="s">
        <v>15</v>
      </c>
      <c r="F6" s="4" t="s">
        <v>12</v>
      </c>
      <c r="G6" s="7" t="s">
        <v>16</v>
      </c>
    </row>
    <row r="7" customFormat="false" ht="15" hidden="false" customHeight="false" outlineLevel="0" collapsed="false">
      <c r="A7" s="4" t="s">
        <v>17</v>
      </c>
      <c r="B7" s="4" t="s">
        <v>18</v>
      </c>
      <c r="C7" s="5" t="n">
        <v>0</v>
      </c>
      <c r="E7" s="6" t="s">
        <v>11</v>
      </c>
      <c r="F7" s="4" t="s">
        <v>12</v>
      </c>
      <c r="G7" s="7" t="s">
        <v>19</v>
      </c>
    </row>
    <row r="9" customFormat="false" ht="15" hidden="false" customHeight="false" outlineLevel="0" collapsed="false">
      <c r="A9" s="8" t="s">
        <v>20</v>
      </c>
      <c r="B9" s="9"/>
      <c r="C9" s="10" t="n">
        <f aca="false">SUM(C5:C7)</f>
        <v>23196.9</v>
      </c>
      <c r="D9" s="9"/>
      <c r="E9" s="9"/>
      <c r="F9" s="9"/>
      <c r="G9" s="9"/>
    </row>
    <row r="11" customFormat="false" ht="15" hidden="false" customHeight="false" outlineLevel="0" collapsed="false">
      <c r="A11" s="11" t="s">
        <v>21</v>
      </c>
    </row>
    <row r="12" customFormat="false" ht="15" hidden="false" customHeight="false" outlineLevel="0" collapsed="false">
      <c r="A12" s="12" t="s">
        <v>22</v>
      </c>
      <c r="B12" s="12" t="s">
        <v>3</v>
      </c>
      <c r="C12" s="12" t="s">
        <v>23</v>
      </c>
      <c r="D12" s="12" t="s">
        <v>24</v>
      </c>
      <c r="E12" s="12" t="s">
        <v>25</v>
      </c>
      <c r="F12" s="12" t="s">
        <v>7</v>
      </c>
      <c r="G12" s="12" t="s">
        <v>8</v>
      </c>
    </row>
    <row r="13" customFormat="false" ht="15" hidden="false" customHeight="false" outlineLevel="0" collapsed="false">
      <c r="A13" s="4" t="s">
        <v>26</v>
      </c>
      <c r="B13" s="4" t="s">
        <v>27</v>
      </c>
      <c r="C13" s="13" t="n">
        <f aca="false">SUMIFS(FX_OPS!F5:F100,FX_OPS!H5:H100,"IB Deposit")-SUMIFS(FX_OPS!F5:F100,FX_OPS!H5:H100,"IB Withdraw")</f>
        <v>178510.76</v>
      </c>
      <c r="D13" s="13" t="n">
        <f aca="false">SUMIFS(FX_OPS!E5:E100,FX_OPS!H5:H100,"IB Deposit")-SUMIFS(FX_OPS!E5:E100,FX_OPS!H5:H100,"IB Withdraw")</f>
        <v>34966.42</v>
      </c>
      <c r="E13" s="4" t="s">
        <v>28</v>
      </c>
      <c r="F13" s="4" t="s">
        <v>29</v>
      </c>
      <c r="G13" s="7" t="s">
        <v>30</v>
      </c>
    </row>
    <row r="14" customFormat="false" ht="15" hidden="false" customHeight="false" outlineLevel="0" collapsed="false">
      <c r="A14" s="4" t="s">
        <v>31</v>
      </c>
      <c r="B14" s="4" t="s">
        <v>32</v>
      </c>
      <c r="C14" s="13" t="n">
        <f aca="false">SUMIFS(FX_OPS!F5:F100,FX_OPS!H5:H100,"Fund Deposit")</f>
        <v>175765.83</v>
      </c>
      <c r="E14" s="4" t="s">
        <v>33</v>
      </c>
      <c r="F14" s="4" t="s">
        <v>29</v>
      </c>
      <c r="G14" s="7" t="s">
        <v>34</v>
      </c>
    </row>
    <row r="15" customFormat="false" ht="15" hidden="false" customHeight="false" outlineLevel="0" collapsed="false">
      <c r="A15" s="8" t="s">
        <v>35</v>
      </c>
      <c r="B15" s="9"/>
      <c r="C15" s="10" t="n">
        <f aca="false">SUM(C13:C14)</f>
        <v>354276.59</v>
      </c>
      <c r="D15" s="9"/>
      <c r="E15" s="9"/>
      <c r="F15" s="9"/>
      <c r="G15" s="9"/>
    </row>
    <row r="17" customFormat="false" ht="15" hidden="false" customHeight="false" outlineLevel="0" collapsed="false">
      <c r="A17" s="14" t="s">
        <v>36</v>
      </c>
      <c r="B17" s="15"/>
      <c r="C17" s="16" t="n">
        <f aca="false">C9+C15</f>
        <v>377473.49</v>
      </c>
      <c r="D17" s="15"/>
      <c r="E17" s="15"/>
      <c r="F17" s="15"/>
      <c r="G17" s="15"/>
    </row>
    <row r="19" customFormat="false" ht="15" hidden="false" customHeight="false" outlineLevel="0" collapsed="false">
      <c r="A19" s="11" t="s">
        <v>37</v>
      </c>
    </row>
    <row r="20" customFormat="false" ht="15" hidden="false" customHeight="false" outlineLevel="0" collapsed="false">
      <c r="A20" s="7" t="s">
        <v>38</v>
      </c>
    </row>
    <row r="21" customFormat="false" ht="15" hidden="false" customHeight="false" outlineLevel="0" collapsed="false">
      <c r="A21" s="7" t="s">
        <v>39</v>
      </c>
    </row>
    <row r="22" customFormat="false" ht="15" hidden="false" customHeight="false" outlineLevel="0" collapsed="false">
      <c r="A22" s="7" t="s">
        <v>40</v>
      </c>
    </row>
    <row r="23" customFormat="false" ht="15" hidden="false" customHeight="false" outlineLevel="0" collapsed="false">
      <c r="A23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15" hidden="false" customHeight="false" outlineLevel="0" collapsed="false">
      <c r="A4" s="3" t="s">
        <v>44</v>
      </c>
      <c r="B4" s="3" t="s">
        <v>2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</row>
    <row r="5" customFormat="false" ht="15" hidden="false" customHeight="false" outlineLevel="0" collapsed="false">
      <c r="A5" s="6" t="s">
        <v>52</v>
      </c>
      <c r="B5" s="6" t="s">
        <v>53</v>
      </c>
      <c r="C5" s="6" t="s">
        <v>54</v>
      </c>
      <c r="D5" s="4" t="s">
        <v>55</v>
      </c>
      <c r="E5" s="17" t="n">
        <v>200</v>
      </c>
      <c r="F5" s="17" t="n">
        <v>1071.22</v>
      </c>
      <c r="G5" s="18" t="n">
        <v>5.3561</v>
      </c>
      <c r="H5" s="6" t="s">
        <v>56</v>
      </c>
      <c r="I5" s="7" t="s">
        <v>57</v>
      </c>
    </row>
    <row r="6" customFormat="false" ht="15" hidden="false" customHeight="false" outlineLevel="0" collapsed="false">
      <c r="A6" s="19" t="s">
        <v>58</v>
      </c>
      <c r="B6" s="19" t="s">
        <v>17</v>
      </c>
      <c r="C6" s="19" t="s">
        <v>59</v>
      </c>
      <c r="D6" s="20" t="s">
        <v>55</v>
      </c>
      <c r="E6" s="21" t="n">
        <v>3000</v>
      </c>
      <c r="F6" s="21" t="n">
        <v>15886.01</v>
      </c>
      <c r="G6" s="22" t="n">
        <v>5.2953</v>
      </c>
      <c r="H6" s="19" t="s">
        <v>60</v>
      </c>
      <c r="I6" s="23" t="s">
        <v>61</v>
      </c>
    </row>
    <row r="7" customFormat="false" ht="15" hidden="false" customHeight="false" outlineLevel="0" collapsed="false">
      <c r="A7" s="6" t="s">
        <v>62</v>
      </c>
      <c r="B7" s="6" t="s">
        <v>17</v>
      </c>
      <c r="C7" s="6" t="s">
        <v>59</v>
      </c>
      <c r="D7" s="4" t="s">
        <v>55</v>
      </c>
      <c r="E7" s="17" t="n">
        <v>3000</v>
      </c>
      <c r="F7" s="17" t="n">
        <v>16063.89</v>
      </c>
      <c r="G7" s="18" t="n">
        <v>5.3546</v>
      </c>
      <c r="H7" s="6" t="s">
        <v>60</v>
      </c>
      <c r="I7" s="7" t="s">
        <v>61</v>
      </c>
    </row>
    <row r="8" customFormat="false" ht="15" hidden="false" customHeight="false" outlineLevel="0" collapsed="false">
      <c r="A8" s="19" t="s">
        <v>63</v>
      </c>
      <c r="B8" s="19" t="s">
        <v>17</v>
      </c>
      <c r="C8" s="19" t="s">
        <v>59</v>
      </c>
      <c r="D8" s="20" t="s">
        <v>55</v>
      </c>
      <c r="E8" s="21" t="n">
        <v>3000</v>
      </c>
      <c r="F8" s="21" t="n">
        <v>15868.79</v>
      </c>
      <c r="G8" s="22" t="n">
        <v>5.2896</v>
      </c>
      <c r="H8" s="19" t="s">
        <v>60</v>
      </c>
      <c r="I8" s="23" t="s">
        <v>61</v>
      </c>
    </row>
    <row r="9" customFormat="false" ht="15" hidden="false" customHeight="false" outlineLevel="0" collapsed="false">
      <c r="A9" s="6" t="s">
        <v>64</v>
      </c>
      <c r="B9" s="6" t="s">
        <v>17</v>
      </c>
      <c r="C9" s="6" t="s">
        <v>59</v>
      </c>
      <c r="D9" s="4" t="s">
        <v>55</v>
      </c>
      <c r="E9" s="17" t="n">
        <v>3000</v>
      </c>
      <c r="F9" s="17" t="n">
        <v>15789.96</v>
      </c>
      <c r="G9" s="18" t="n">
        <v>5.2633</v>
      </c>
      <c r="H9" s="6" t="s">
        <v>60</v>
      </c>
      <c r="I9" s="7" t="s">
        <v>61</v>
      </c>
    </row>
    <row r="10" customFormat="false" ht="15" hidden="false" customHeight="false" outlineLevel="0" collapsed="false">
      <c r="A10" s="19" t="s">
        <v>65</v>
      </c>
      <c r="B10" s="19" t="s">
        <v>17</v>
      </c>
      <c r="C10" s="19" t="s">
        <v>59</v>
      </c>
      <c r="D10" s="20" t="s">
        <v>55</v>
      </c>
      <c r="E10" s="21" t="n">
        <v>3000</v>
      </c>
      <c r="F10" s="21" t="n">
        <v>16024.35</v>
      </c>
      <c r="G10" s="22" t="n">
        <v>5.3414</v>
      </c>
      <c r="H10" s="19" t="s">
        <v>60</v>
      </c>
      <c r="I10" s="23" t="s">
        <v>61</v>
      </c>
    </row>
    <row r="11" customFormat="false" ht="15" hidden="false" customHeight="false" outlineLevel="0" collapsed="false">
      <c r="A11" s="6" t="s">
        <v>66</v>
      </c>
      <c r="B11" s="6" t="s">
        <v>17</v>
      </c>
      <c r="C11" s="6" t="s">
        <v>59</v>
      </c>
      <c r="D11" s="4" t="s">
        <v>55</v>
      </c>
      <c r="E11" s="17" t="n">
        <v>3000</v>
      </c>
      <c r="F11" s="17" t="n">
        <v>15877.18</v>
      </c>
      <c r="G11" s="18" t="n">
        <v>5.2924</v>
      </c>
      <c r="H11" s="6" t="s">
        <v>60</v>
      </c>
      <c r="I11" s="7" t="s">
        <v>61</v>
      </c>
    </row>
    <row r="12" customFormat="false" ht="15" hidden="false" customHeight="false" outlineLevel="0" collapsed="false">
      <c r="A12" s="19" t="s">
        <v>67</v>
      </c>
      <c r="B12" s="19" t="s">
        <v>17</v>
      </c>
      <c r="C12" s="19" t="s">
        <v>59</v>
      </c>
      <c r="D12" s="20" t="s">
        <v>55</v>
      </c>
      <c r="E12" s="21" t="n">
        <v>3000</v>
      </c>
      <c r="F12" s="21" t="n">
        <v>15963.15</v>
      </c>
      <c r="G12" s="22" t="n">
        <v>5.3211</v>
      </c>
      <c r="H12" s="19" t="s">
        <v>60</v>
      </c>
      <c r="I12" s="23" t="s">
        <v>61</v>
      </c>
    </row>
    <row r="13" customFormat="false" ht="15" hidden="false" customHeight="false" outlineLevel="0" collapsed="false">
      <c r="A13" s="6" t="s">
        <v>68</v>
      </c>
      <c r="B13" s="6" t="s">
        <v>17</v>
      </c>
      <c r="C13" s="6" t="s">
        <v>59</v>
      </c>
      <c r="D13" s="4" t="s">
        <v>55</v>
      </c>
      <c r="E13" s="17" t="n">
        <v>3000</v>
      </c>
      <c r="F13" s="17" t="n">
        <v>15878.08</v>
      </c>
      <c r="G13" s="18" t="n">
        <v>5.2927</v>
      </c>
      <c r="H13" s="6" t="s">
        <v>60</v>
      </c>
      <c r="I13" s="7" t="s">
        <v>61</v>
      </c>
    </row>
    <row r="14" customFormat="false" ht="15" hidden="false" customHeight="false" outlineLevel="0" collapsed="false">
      <c r="A14" s="19" t="s">
        <v>69</v>
      </c>
      <c r="B14" s="19" t="s">
        <v>53</v>
      </c>
      <c r="C14" s="19" t="s">
        <v>54</v>
      </c>
      <c r="D14" s="20" t="s">
        <v>55</v>
      </c>
      <c r="E14" s="21" t="n">
        <v>100</v>
      </c>
      <c r="F14" s="21" t="n">
        <v>503.62</v>
      </c>
      <c r="G14" s="22" t="n">
        <v>5.0362</v>
      </c>
      <c r="H14" s="19" t="s">
        <v>56</v>
      </c>
      <c r="I14" s="23" t="s">
        <v>57</v>
      </c>
    </row>
    <row r="15" customFormat="false" ht="15" hidden="false" customHeight="false" outlineLevel="0" collapsed="false">
      <c r="A15" s="6" t="s">
        <v>70</v>
      </c>
      <c r="B15" s="6" t="s">
        <v>17</v>
      </c>
      <c r="C15" s="6" t="s">
        <v>59</v>
      </c>
      <c r="D15" s="4" t="s">
        <v>55</v>
      </c>
      <c r="E15" s="17" t="n">
        <v>3000</v>
      </c>
      <c r="F15" s="17" t="n">
        <v>15132.89</v>
      </c>
      <c r="G15" s="18" t="n">
        <v>5.0443</v>
      </c>
      <c r="H15" s="6" t="s">
        <v>60</v>
      </c>
      <c r="I15" s="7" t="s">
        <v>61</v>
      </c>
    </row>
    <row r="16" customFormat="false" ht="15" hidden="false" customHeight="false" outlineLevel="0" collapsed="false">
      <c r="A16" s="19" t="s">
        <v>70</v>
      </c>
      <c r="B16" s="19" t="s">
        <v>9</v>
      </c>
      <c r="C16" s="19" t="s">
        <v>59</v>
      </c>
      <c r="D16" s="20" t="s">
        <v>55</v>
      </c>
      <c r="E16" s="21" t="n">
        <v>5000</v>
      </c>
      <c r="F16" s="21" t="n">
        <v>24939.84</v>
      </c>
      <c r="G16" s="22" t="n">
        <v>4.988</v>
      </c>
      <c r="H16" s="19" t="s">
        <v>60</v>
      </c>
      <c r="I16" s="23" t="s">
        <v>71</v>
      </c>
    </row>
    <row r="17" customFormat="false" ht="15" hidden="false" customHeight="false" outlineLevel="0" collapsed="false">
      <c r="A17" s="6" t="s">
        <v>72</v>
      </c>
      <c r="B17" s="6" t="s">
        <v>9</v>
      </c>
      <c r="C17" s="6" t="s">
        <v>59</v>
      </c>
      <c r="D17" s="4" t="s">
        <v>55</v>
      </c>
      <c r="E17" s="17" t="n">
        <v>15000</v>
      </c>
      <c r="F17" s="17" t="n">
        <v>74340.4</v>
      </c>
      <c r="G17" s="18" t="n">
        <v>4.956</v>
      </c>
      <c r="H17" s="6" t="s">
        <v>60</v>
      </c>
      <c r="I17" s="7" t="s">
        <v>71</v>
      </c>
    </row>
    <row r="18" customFormat="false" ht="15" hidden="false" customHeight="false" outlineLevel="0" collapsed="false">
      <c r="A18" s="19" t="s">
        <v>73</v>
      </c>
      <c r="B18" s="19" t="s">
        <v>17</v>
      </c>
      <c r="C18" s="19" t="s">
        <v>59</v>
      </c>
      <c r="D18" s="20" t="s">
        <v>55</v>
      </c>
      <c r="E18" s="21" t="n">
        <v>500</v>
      </c>
      <c r="F18" s="21" t="n">
        <v>2577.87</v>
      </c>
      <c r="G18" s="22" t="n">
        <v>5.1558</v>
      </c>
      <c r="H18" s="19" t="s">
        <v>60</v>
      </c>
      <c r="I18" s="23" t="s">
        <v>61</v>
      </c>
    </row>
    <row r="19" customFormat="false" ht="15" hidden="false" customHeight="false" outlineLevel="0" collapsed="false">
      <c r="A19" s="6" t="s">
        <v>73</v>
      </c>
      <c r="B19" s="6" t="s">
        <v>74</v>
      </c>
      <c r="C19" s="6" t="s">
        <v>75</v>
      </c>
      <c r="D19" s="4" t="s">
        <v>55</v>
      </c>
      <c r="E19" s="17" t="n">
        <v>250</v>
      </c>
      <c r="F19" s="17" t="n">
        <v>1246.27</v>
      </c>
      <c r="G19" s="18" t="n">
        <v>4.9851</v>
      </c>
      <c r="H19" s="6" t="s">
        <v>60</v>
      </c>
      <c r="I19" s="7" t="s">
        <v>76</v>
      </c>
    </row>
    <row r="20" customFormat="false" ht="15" hidden="false" customHeight="false" outlineLevel="0" collapsed="false">
      <c r="A20" s="19" t="s">
        <v>77</v>
      </c>
      <c r="B20" s="19" t="s">
        <v>17</v>
      </c>
      <c r="C20" s="19" t="s">
        <v>59</v>
      </c>
      <c r="D20" s="20" t="s">
        <v>55</v>
      </c>
      <c r="E20" s="21" t="n">
        <v>200</v>
      </c>
      <c r="F20" s="21" t="n">
        <v>1019.15</v>
      </c>
      <c r="G20" s="22" t="n">
        <v>5.0958</v>
      </c>
      <c r="H20" s="19" t="s">
        <v>60</v>
      </c>
      <c r="I20" s="23" t="s">
        <v>61</v>
      </c>
    </row>
    <row r="21" customFormat="false" ht="15" hidden="false" customHeight="false" outlineLevel="0" collapsed="false">
      <c r="A21" s="6" t="s">
        <v>77</v>
      </c>
      <c r="B21" s="6" t="s">
        <v>74</v>
      </c>
      <c r="C21" s="6" t="s">
        <v>54</v>
      </c>
      <c r="D21" s="4" t="s">
        <v>55</v>
      </c>
      <c r="E21" s="17" t="n">
        <v>3834.82</v>
      </c>
      <c r="F21" s="17" t="n">
        <v>19195.81</v>
      </c>
      <c r="G21" s="18" t="n">
        <v>5.0056</v>
      </c>
      <c r="H21" s="6" t="s">
        <v>56</v>
      </c>
      <c r="I21" s="7" t="s">
        <v>78</v>
      </c>
    </row>
    <row r="22" customFormat="false" ht="15" hidden="false" customHeight="false" outlineLevel="0" collapsed="false">
      <c r="A22" s="19" t="s">
        <v>79</v>
      </c>
      <c r="B22" s="19" t="s">
        <v>53</v>
      </c>
      <c r="C22" s="19" t="s">
        <v>54</v>
      </c>
      <c r="D22" s="20" t="s">
        <v>55</v>
      </c>
      <c r="E22" s="21" t="n">
        <v>1000</v>
      </c>
      <c r="F22" s="21" t="n">
        <v>5114.85</v>
      </c>
      <c r="G22" s="22" t="n">
        <v>5.1149</v>
      </c>
      <c r="H22" s="19" t="s">
        <v>56</v>
      </c>
      <c r="I22" s="23" t="s">
        <v>57</v>
      </c>
    </row>
    <row r="23" customFormat="false" ht="15" hidden="false" customHeight="false" outlineLevel="0" collapsed="false">
      <c r="A23" s="6" t="s">
        <v>80</v>
      </c>
      <c r="B23" s="6" t="s">
        <v>53</v>
      </c>
      <c r="C23" s="6" t="s">
        <v>54</v>
      </c>
      <c r="D23" s="4" t="s">
        <v>55</v>
      </c>
      <c r="E23" s="17" t="n">
        <v>6212.32</v>
      </c>
      <c r="F23" s="17" t="n">
        <v>31651.83</v>
      </c>
      <c r="G23" s="18" t="n">
        <v>5.0949</v>
      </c>
      <c r="H23" s="6" t="s">
        <v>56</v>
      </c>
      <c r="I23" s="7" t="s">
        <v>57</v>
      </c>
    </row>
    <row r="24" customFormat="false" ht="15" hidden="false" customHeight="false" outlineLevel="0" collapsed="false">
      <c r="A24" s="19" t="s">
        <v>81</v>
      </c>
      <c r="B24" s="19" t="s">
        <v>53</v>
      </c>
      <c r="C24" s="19" t="s">
        <v>82</v>
      </c>
      <c r="D24" s="20" t="s">
        <v>83</v>
      </c>
      <c r="E24" s="21" t="n">
        <v>0</v>
      </c>
      <c r="F24" s="21" t="n">
        <v>45000</v>
      </c>
      <c r="G24" s="22"/>
      <c r="H24" s="19" t="s">
        <v>84</v>
      </c>
      <c r="I24" s="23" t="s">
        <v>85</v>
      </c>
    </row>
    <row r="25" customFormat="false" ht="15" hidden="false" customHeight="false" outlineLevel="0" collapsed="false">
      <c r="A25" s="6" t="s">
        <v>86</v>
      </c>
      <c r="B25" s="6" t="s">
        <v>17</v>
      </c>
      <c r="C25" s="6" t="s">
        <v>59</v>
      </c>
      <c r="D25" s="4" t="s">
        <v>55</v>
      </c>
      <c r="E25" s="17" t="n">
        <v>10000</v>
      </c>
      <c r="F25" s="17" t="n">
        <v>51027.68</v>
      </c>
      <c r="G25" s="18" t="n">
        <v>5.1028</v>
      </c>
      <c r="H25" s="6" t="s">
        <v>60</v>
      </c>
      <c r="I25" s="7" t="s">
        <v>61</v>
      </c>
    </row>
    <row r="26" customFormat="false" ht="15" hidden="false" customHeight="false" outlineLevel="0" collapsed="false">
      <c r="A26" s="19" t="s">
        <v>87</v>
      </c>
      <c r="B26" s="19" t="s">
        <v>17</v>
      </c>
      <c r="C26" s="19" t="s">
        <v>59</v>
      </c>
      <c r="D26" s="20" t="s">
        <v>55</v>
      </c>
      <c r="E26" s="21" t="n">
        <v>5000</v>
      </c>
      <c r="F26" s="21" t="n">
        <v>25650.76</v>
      </c>
      <c r="G26" s="22" t="n">
        <v>5.1302</v>
      </c>
      <c r="H26" s="19" t="s">
        <v>60</v>
      </c>
      <c r="I26" s="23" t="s">
        <v>61</v>
      </c>
    </row>
    <row r="27" customFormat="false" ht="15" hidden="false" customHeight="false" outlineLevel="0" collapsed="false">
      <c r="A27" s="6" t="s">
        <v>87</v>
      </c>
      <c r="B27" s="6" t="s">
        <v>53</v>
      </c>
      <c r="C27" s="6" t="s">
        <v>54</v>
      </c>
      <c r="D27" s="4" t="s">
        <v>55</v>
      </c>
      <c r="E27" s="17" t="n">
        <v>20000</v>
      </c>
      <c r="F27" s="17" t="n">
        <v>101772.38</v>
      </c>
      <c r="G27" s="18" t="n">
        <v>5.0886</v>
      </c>
      <c r="H27" s="6" t="s">
        <v>56</v>
      </c>
      <c r="I27" s="7" t="s">
        <v>57</v>
      </c>
    </row>
    <row r="28" customFormat="false" ht="15" hidden="false" customHeight="false" outlineLevel="0" collapsed="false">
      <c r="A28" s="19" t="s">
        <v>88</v>
      </c>
      <c r="B28" s="19" t="s">
        <v>74</v>
      </c>
      <c r="C28" s="19" t="s">
        <v>75</v>
      </c>
      <c r="D28" s="20" t="s">
        <v>55</v>
      </c>
      <c r="E28" s="21" t="n">
        <v>100</v>
      </c>
      <c r="F28" s="21" t="n">
        <v>514.21</v>
      </c>
      <c r="G28" s="22" t="n">
        <v>5.1421</v>
      </c>
      <c r="H28" s="19" t="s">
        <v>60</v>
      </c>
      <c r="I28" s="23" t="s">
        <v>76</v>
      </c>
    </row>
    <row r="29" customFormat="false" ht="15" hidden="false" customHeight="false" outlineLevel="0" collapsed="false">
      <c r="A29" s="6" t="s">
        <v>88</v>
      </c>
      <c r="B29" s="6" t="s">
        <v>53</v>
      </c>
      <c r="C29" s="6" t="s">
        <v>82</v>
      </c>
      <c r="D29" s="4" t="s">
        <v>83</v>
      </c>
      <c r="E29" s="17" t="n">
        <v>0</v>
      </c>
      <c r="F29" s="17" t="n">
        <v>78323.92</v>
      </c>
      <c r="G29" s="18"/>
      <c r="H29" s="6" t="s">
        <v>84</v>
      </c>
      <c r="I29" s="7" t="s">
        <v>85</v>
      </c>
    </row>
    <row r="30" customFormat="false" ht="15" hidden="false" customHeight="false" outlineLevel="0" collapsed="false">
      <c r="A30" s="19" t="s">
        <v>88</v>
      </c>
      <c r="B30" s="19" t="s">
        <v>17</v>
      </c>
      <c r="C30" s="19" t="s">
        <v>89</v>
      </c>
      <c r="D30" s="20" t="s">
        <v>83</v>
      </c>
      <c r="E30" s="21" t="n">
        <v>0</v>
      </c>
      <c r="F30" s="21" t="n">
        <v>73857</v>
      </c>
      <c r="G30" s="22"/>
      <c r="H30" s="19" t="s">
        <v>90</v>
      </c>
      <c r="I30" s="23" t="s">
        <v>91</v>
      </c>
    </row>
    <row r="31" customFormat="false" ht="15" hidden="false" customHeight="false" outlineLevel="0" collapsed="false">
      <c r="A31" s="6" t="s">
        <v>92</v>
      </c>
      <c r="B31" s="6" t="s">
        <v>93</v>
      </c>
      <c r="C31" s="6" t="s">
        <v>94</v>
      </c>
      <c r="D31" s="4" t="s">
        <v>83</v>
      </c>
      <c r="E31" s="17" t="n">
        <v>0</v>
      </c>
      <c r="F31" s="17" t="n">
        <v>25000</v>
      </c>
      <c r="G31" s="18"/>
      <c r="H31" s="6" t="s">
        <v>90</v>
      </c>
      <c r="I31" s="7" t="s">
        <v>95</v>
      </c>
    </row>
    <row r="32" customFormat="false" ht="15" hidden="false" customHeight="false" outlineLevel="0" collapsed="false">
      <c r="A32" s="19" t="s">
        <v>96</v>
      </c>
      <c r="B32" s="19" t="s">
        <v>53</v>
      </c>
      <c r="C32" s="19" t="s">
        <v>82</v>
      </c>
      <c r="D32" s="20" t="s">
        <v>83</v>
      </c>
      <c r="E32" s="21" t="n">
        <v>0</v>
      </c>
      <c r="F32" s="21" t="n">
        <v>52441.91</v>
      </c>
      <c r="G32" s="22"/>
      <c r="H32" s="19" t="s">
        <v>84</v>
      </c>
      <c r="I32" s="23" t="s">
        <v>85</v>
      </c>
    </row>
    <row r="33" customFormat="false" ht="15" hidden="false" customHeight="false" outlineLevel="0" collapsed="false">
      <c r="A33" s="6" t="s">
        <v>97</v>
      </c>
      <c r="B33" s="6" t="s">
        <v>17</v>
      </c>
      <c r="C33" s="6" t="s">
        <v>59</v>
      </c>
      <c r="D33" s="4" t="s">
        <v>55</v>
      </c>
      <c r="E33" s="17" t="n">
        <v>46229.38</v>
      </c>
      <c r="F33" s="17" t="n">
        <v>241545.87</v>
      </c>
      <c r="G33" s="18" t="n">
        <v>5.2245</v>
      </c>
      <c r="H33" s="6" t="s">
        <v>60</v>
      </c>
      <c r="I33" s="7" t="s">
        <v>61</v>
      </c>
    </row>
    <row r="34" customFormat="false" ht="15" hidden="false" customHeight="false" outlineLevel="0" collapsed="false">
      <c r="A34" s="19" t="s">
        <v>97</v>
      </c>
      <c r="B34" s="19" t="s">
        <v>74</v>
      </c>
      <c r="C34" s="19" t="s">
        <v>75</v>
      </c>
      <c r="D34" s="20" t="s">
        <v>55</v>
      </c>
      <c r="E34" s="21" t="n">
        <v>17000</v>
      </c>
      <c r="F34" s="21" t="n">
        <v>87442.26</v>
      </c>
      <c r="G34" s="22" t="n">
        <v>5.1436</v>
      </c>
      <c r="H34" s="19" t="s">
        <v>60</v>
      </c>
      <c r="I34" s="23" t="s">
        <v>76</v>
      </c>
    </row>
    <row r="35" customFormat="false" ht="15" hidden="false" customHeight="false" outlineLevel="0" collapsed="false">
      <c r="A35" s="6" t="s">
        <v>97</v>
      </c>
      <c r="B35" s="6" t="s">
        <v>74</v>
      </c>
      <c r="C35" s="6" t="s">
        <v>54</v>
      </c>
      <c r="D35" s="4" t="s">
        <v>55</v>
      </c>
      <c r="E35" s="17" t="n">
        <v>7454.1</v>
      </c>
      <c r="F35" s="17" t="n">
        <v>38396.86</v>
      </c>
      <c r="G35" s="18" t="n">
        <v>5.151</v>
      </c>
      <c r="H35" s="6" t="s">
        <v>56</v>
      </c>
      <c r="I35" s="7" t="s">
        <v>78</v>
      </c>
    </row>
    <row r="36" customFormat="false" ht="15" hidden="false" customHeight="false" outlineLevel="0" collapsed="false">
      <c r="A36" s="19" t="s">
        <v>98</v>
      </c>
      <c r="B36" s="19" t="s">
        <v>74</v>
      </c>
      <c r="C36" s="19" t="s">
        <v>54</v>
      </c>
      <c r="D36" s="20" t="s">
        <v>55</v>
      </c>
      <c r="E36" s="21" t="n">
        <v>3834.82</v>
      </c>
      <c r="F36" s="21" t="n">
        <v>19195.81</v>
      </c>
      <c r="G36" s="22" t="n">
        <v>5.1783</v>
      </c>
      <c r="H36" s="19" t="s">
        <v>99</v>
      </c>
      <c r="I36" s="23" t="s">
        <v>100</v>
      </c>
    </row>
    <row r="39" customFormat="false" ht="15" hidden="false" customHeight="false" outlineLevel="0" collapsed="false">
      <c r="A39" s="11" t="s">
        <v>101</v>
      </c>
    </row>
    <row r="40" customFormat="false" ht="15" hidden="false" customHeight="false" outlineLevel="0" collapsed="false">
      <c r="A40" s="12" t="s">
        <v>50</v>
      </c>
      <c r="B40" s="12" t="s">
        <v>102</v>
      </c>
      <c r="C40" s="12" t="s">
        <v>103</v>
      </c>
      <c r="D40" s="12" t="s">
        <v>104</v>
      </c>
      <c r="E40" s="12" t="s">
        <v>105</v>
      </c>
    </row>
    <row r="41" customFormat="false" ht="15" hidden="false" customHeight="false" outlineLevel="0" collapsed="false">
      <c r="A41" s="4" t="s">
        <v>60</v>
      </c>
      <c r="B41" s="4" t="n">
        <f aca="false">COUNTIF(H5:H36,"Outbound")</f>
        <v>19</v>
      </c>
      <c r="C41" s="24" t="n">
        <f aca="false">SUMIFS(F5:F36,H5:H36,"Outbound")</f>
        <v>652788.61</v>
      </c>
      <c r="D41" s="24" t="n">
        <f aca="false">SUMIFS(E5:E36,H5:H36,"Outbound")</f>
        <v>126279.38</v>
      </c>
      <c r="E41" s="18" t="n">
        <f aca="false">IFERROR(SUMIFS(F5:F36,H5:H36,"Outbound")/SUMIFS(E5:E36,H5:H36,"Outbound"),"")</f>
        <v>5.16939986559959</v>
      </c>
    </row>
    <row r="42" customFormat="false" ht="15" hidden="false" customHeight="false" outlineLevel="0" collapsed="false">
      <c r="A42" s="4" t="s">
        <v>56</v>
      </c>
      <c r="B42" s="4" t="n">
        <f aca="false">COUNTIF(H5:H36,"IB Deposit")</f>
        <v>7</v>
      </c>
      <c r="C42" s="24" t="n">
        <f aca="false">SUMIFS(F5:F36,H5:H36,"IB Deposit")</f>
        <v>197706.57</v>
      </c>
      <c r="D42" s="24" t="n">
        <f aca="false">SUMIFS(E5:E36,H5:H36,"IB Deposit")</f>
        <v>38801.24</v>
      </c>
      <c r="E42" s="18" t="n">
        <f aca="false">IFERROR(SUMIFS(F5:F36,H5:H36,"IB Deposit")/SUMIFS(E5:E36,H5:H36,"IB Deposit"),"")</f>
        <v>5.0953673130034</v>
      </c>
    </row>
    <row r="43" customFormat="false" ht="15" hidden="false" customHeight="false" outlineLevel="0" collapsed="false">
      <c r="A43" s="4" t="s">
        <v>99</v>
      </c>
      <c r="B43" s="4" t="n">
        <f aca="false">COUNTIF(H5:H36,"IB Withdraw")</f>
        <v>1</v>
      </c>
      <c r="C43" s="24" t="n">
        <f aca="false">SUMIFS(F5:F36,H5:H36,"IB Withdraw")</f>
        <v>19195.81</v>
      </c>
      <c r="D43" s="24" t="n">
        <f aca="false">SUMIFS(E5:E36,H5:H36,"IB Withdraw")</f>
        <v>3834.82</v>
      </c>
      <c r="E43" s="18" t="n">
        <f aca="false">IFERROR(SUMIFS(F5:F36,H5:H36,"IB Withdraw")/SUMIFS(E5:E36,H5:H36,"IB Withdraw"),"")</f>
        <v>5.00566128266777</v>
      </c>
    </row>
    <row r="44" customFormat="false" ht="15" hidden="false" customHeight="false" outlineLevel="0" collapsed="false">
      <c r="A44" s="4" t="s">
        <v>84</v>
      </c>
      <c r="B44" s="4" t="n">
        <f aca="false">COUNTIF(H5:H36,"Fund Deposit")</f>
        <v>3</v>
      </c>
      <c r="C44" s="24" t="n">
        <f aca="false">SUMIFS(F5:F36,H5:H36,"Fund Deposit")</f>
        <v>175765.83</v>
      </c>
      <c r="D44" s="24" t="n">
        <f aca="false">SUMIFS(E5:E36,H5:H36,"Fund Deposit")</f>
        <v>0</v>
      </c>
    </row>
    <row r="45" customFormat="false" ht="15" hidden="false" customHeight="false" outlineLevel="0" collapsed="false">
      <c r="A45" s="4" t="s">
        <v>90</v>
      </c>
      <c r="B45" s="4" t="n">
        <f aca="false">COUNTIF(H5:H36,"Inbound")</f>
        <v>2</v>
      </c>
      <c r="C45" s="24" t="n">
        <f aca="false">SUMIFS(F5:F36,H5:H36,"Inbound")</f>
        <v>98857</v>
      </c>
      <c r="D45" s="24" t="n">
        <f aca="false">SUMIFS(E5:E36,H5:H36,"Inbound")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3" t="s">
        <v>108</v>
      </c>
      <c r="B4" s="3" t="s">
        <v>44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</row>
    <row r="5" customFormat="false" ht="15" hidden="false" customHeight="false" outlineLevel="0" collapsed="false">
      <c r="A5" s="4" t="n">
        <v>1</v>
      </c>
      <c r="B5" s="6" t="s">
        <v>114</v>
      </c>
      <c r="C5" s="4" t="s">
        <v>115</v>
      </c>
      <c r="D5" s="6" t="s">
        <v>116</v>
      </c>
      <c r="E5" s="25" t="n">
        <v>-173.79</v>
      </c>
      <c r="F5" s="6" t="s">
        <v>117</v>
      </c>
      <c r="G5" s="4" t="s">
        <v>118</v>
      </c>
    </row>
    <row r="6" customFormat="false" ht="15" hidden="false" customHeight="false" outlineLevel="0" collapsed="false">
      <c r="A6" s="20" t="n">
        <v>2</v>
      </c>
      <c r="B6" s="19" t="s">
        <v>119</v>
      </c>
      <c r="C6" s="20" t="s">
        <v>115</v>
      </c>
      <c r="D6" s="19" t="s">
        <v>120</v>
      </c>
      <c r="E6" s="26" t="n">
        <v>-111.58</v>
      </c>
      <c r="F6" s="19" t="s">
        <v>121</v>
      </c>
      <c r="G6" s="20" t="s">
        <v>122</v>
      </c>
    </row>
    <row r="7" customFormat="false" ht="15" hidden="false" customHeight="false" outlineLevel="0" collapsed="false">
      <c r="A7" s="4" t="n">
        <v>3</v>
      </c>
      <c r="B7" s="6" t="s">
        <v>119</v>
      </c>
      <c r="C7" s="4" t="s">
        <v>115</v>
      </c>
      <c r="D7" s="6" t="s">
        <v>123</v>
      </c>
      <c r="E7" s="25" t="n">
        <v>-21.9</v>
      </c>
      <c r="F7" s="6" t="s">
        <v>124</v>
      </c>
      <c r="G7" s="4" t="s">
        <v>118</v>
      </c>
    </row>
    <row r="8" customFormat="false" ht="15" hidden="false" customHeight="false" outlineLevel="0" collapsed="false">
      <c r="A8" s="20" t="n">
        <v>4</v>
      </c>
      <c r="B8" s="19" t="s">
        <v>125</v>
      </c>
      <c r="C8" s="20" t="s">
        <v>115</v>
      </c>
      <c r="D8" s="19" t="s">
        <v>126</v>
      </c>
      <c r="E8" s="26" t="n">
        <v>-111.6</v>
      </c>
      <c r="F8" s="19" t="s">
        <v>117</v>
      </c>
      <c r="G8" s="20" t="s">
        <v>118</v>
      </c>
    </row>
    <row r="9" customFormat="false" ht="15" hidden="false" customHeight="false" outlineLevel="0" collapsed="false">
      <c r="A9" s="4" t="n">
        <v>5</v>
      </c>
      <c r="B9" s="6" t="s">
        <v>125</v>
      </c>
      <c r="C9" s="4" t="s">
        <v>115</v>
      </c>
      <c r="D9" s="6" t="s">
        <v>123</v>
      </c>
      <c r="E9" s="25" t="n">
        <v>-19.9</v>
      </c>
      <c r="F9" s="6" t="s">
        <v>124</v>
      </c>
      <c r="G9" s="4" t="s">
        <v>118</v>
      </c>
    </row>
    <row r="10" customFormat="false" ht="15" hidden="false" customHeight="false" outlineLevel="0" collapsed="false">
      <c r="A10" s="20" t="n">
        <v>6</v>
      </c>
      <c r="B10" s="19" t="s">
        <v>127</v>
      </c>
      <c r="C10" s="20" t="s">
        <v>115</v>
      </c>
      <c r="D10" s="19" t="s">
        <v>128</v>
      </c>
      <c r="E10" s="26" t="n">
        <v>-25.79</v>
      </c>
      <c r="F10" s="19" t="s">
        <v>121</v>
      </c>
      <c r="G10" s="20" t="s">
        <v>122</v>
      </c>
    </row>
    <row r="11" customFormat="false" ht="15" hidden="false" customHeight="false" outlineLevel="0" collapsed="false">
      <c r="A11" s="4" t="n">
        <v>7</v>
      </c>
      <c r="B11" s="6" t="s">
        <v>129</v>
      </c>
      <c r="C11" s="4" t="s">
        <v>115</v>
      </c>
      <c r="D11" s="6" t="s">
        <v>130</v>
      </c>
      <c r="E11" s="25" t="n">
        <v>-235.52</v>
      </c>
      <c r="F11" s="6" t="s">
        <v>131</v>
      </c>
      <c r="G11" s="4" t="s">
        <v>118</v>
      </c>
    </row>
    <row r="12" customFormat="false" ht="15" hidden="false" customHeight="false" outlineLevel="0" collapsed="false">
      <c r="A12" s="20" t="n">
        <v>8</v>
      </c>
      <c r="B12" s="19" t="s">
        <v>132</v>
      </c>
      <c r="C12" s="20" t="s">
        <v>115</v>
      </c>
      <c r="D12" s="19" t="s">
        <v>133</v>
      </c>
      <c r="E12" s="26" t="n">
        <v>-143.6</v>
      </c>
      <c r="F12" s="19" t="s">
        <v>134</v>
      </c>
      <c r="G12" s="20" t="s">
        <v>122</v>
      </c>
    </row>
    <row r="13" customFormat="false" ht="15" hidden="false" customHeight="false" outlineLevel="0" collapsed="false">
      <c r="A13" s="4" t="n">
        <v>9</v>
      </c>
      <c r="B13" s="6" t="s">
        <v>132</v>
      </c>
      <c r="C13" s="4" t="s">
        <v>115</v>
      </c>
      <c r="D13" s="6" t="s">
        <v>135</v>
      </c>
      <c r="E13" s="25" t="n">
        <v>-191.8</v>
      </c>
      <c r="F13" s="6" t="s">
        <v>117</v>
      </c>
      <c r="G13" s="4" t="s">
        <v>122</v>
      </c>
    </row>
    <row r="14" customFormat="false" ht="15" hidden="false" customHeight="false" outlineLevel="0" collapsed="false">
      <c r="A14" s="20" t="n">
        <v>10</v>
      </c>
      <c r="B14" s="19" t="s">
        <v>136</v>
      </c>
      <c r="C14" s="20" t="s">
        <v>115</v>
      </c>
      <c r="D14" s="19" t="s">
        <v>120</v>
      </c>
      <c r="E14" s="26" t="n">
        <v>-111.37</v>
      </c>
      <c r="F14" s="19" t="s">
        <v>121</v>
      </c>
      <c r="G14" s="20" t="s">
        <v>122</v>
      </c>
    </row>
    <row r="15" customFormat="false" ht="15" hidden="false" customHeight="false" outlineLevel="0" collapsed="false">
      <c r="A15" s="4" t="n">
        <v>11</v>
      </c>
      <c r="B15" s="6" t="s">
        <v>136</v>
      </c>
      <c r="C15" s="4" t="s">
        <v>115</v>
      </c>
      <c r="D15" s="6" t="s">
        <v>137</v>
      </c>
      <c r="E15" s="25" t="n">
        <v>-111</v>
      </c>
      <c r="F15" s="6" t="s">
        <v>134</v>
      </c>
      <c r="G15" s="4" t="s">
        <v>122</v>
      </c>
    </row>
    <row r="16" customFormat="false" ht="15" hidden="false" customHeight="false" outlineLevel="0" collapsed="false">
      <c r="A16" s="20" t="n">
        <v>12</v>
      </c>
      <c r="B16" s="19" t="s">
        <v>138</v>
      </c>
      <c r="C16" s="20" t="s">
        <v>115</v>
      </c>
      <c r="D16" s="19" t="s">
        <v>139</v>
      </c>
      <c r="E16" s="26" t="n">
        <v>-111.11</v>
      </c>
      <c r="F16" s="19" t="s">
        <v>124</v>
      </c>
      <c r="G16" s="20" t="s">
        <v>122</v>
      </c>
    </row>
    <row r="17" customFormat="false" ht="15" hidden="false" customHeight="false" outlineLevel="0" collapsed="false">
      <c r="A17" s="4" t="n">
        <v>13</v>
      </c>
      <c r="B17" s="6" t="s">
        <v>140</v>
      </c>
      <c r="C17" s="4" t="s">
        <v>115</v>
      </c>
      <c r="D17" s="6" t="s">
        <v>141</v>
      </c>
      <c r="E17" s="25" t="n">
        <v>-1138.5</v>
      </c>
      <c r="F17" s="6" t="s">
        <v>121</v>
      </c>
      <c r="G17" s="4" t="s">
        <v>122</v>
      </c>
    </row>
    <row r="18" customFormat="false" ht="15" hidden="false" customHeight="false" outlineLevel="0" collapsed="false">
      <c r="A18" s="20" t="n">
        <v>14</v>
      </c>
      <c r="B18" s="19" t="s">
        <v>140</v>
      </c>
      <c r="C18" s="20" t="s">
        <v>115</v>
      </c>
      <c r="D18" s="19" t="s">
        <v>128</v>
      </c>
      <c r="E18" s="26" t="n">
        <v>-556.83</v>
      </c>
      <c r="F18" s="19" t="s">
        <v>121</v>
      </c>
      <c r="G18" s="20" t="s">
        <v>122</v>
      </c>
    </row>
    <row r="19" customFormat="false" ht="15" hidden="false" customHeight="false" outlineLevel="0" collapsed="false">
      <c r="A19" s="4" t="n">
        <v>15</v>
      </c>
      <c r="B19" s="6" t="s">
        <v>58</v>
      </c>
      <c r="C19" s="4" t="s">
        <v>115</v>
      </c>
      <c r="D19" s="6" t="s">
        <v>142</v>
      </c>
      <c r="E19" s="25" t="n">
        <v>-524.63</v>
      </c>
      <c r="F19" s="6" t="s">
        <v>143</v>
      </c>
      <c r="G19" s="4" t="s">
        <v>122</v>
      </c>
    </row>
    <row r="20" customFormat="false" ht="15" hidden="false" customHeight="false" outlineLevel="0" collapsed="false">
      <c r="A20" s="20" t="n">
        <v>16</v>
      </c>
      <c r="B20" s="19" t="s">
        <v>144</v>
      </c>
      <c r="C20" s="20" t="s">
        <v>115</v>
      </c>
      <c r="D20" s="19" t="s">
        <v>126</v>
      </c>
      <c r="E20" s="26" t="n">
        <v>-55.8</v>
      </c>
      <c r="F20" s="19" t="s">
        <v>117</v>
      </c>
      <c r="G20" s="20" t="s">
        <v>118</v>
      </c>
    </row>
    <row r="21" customFormat="false" ht="15" hidden="false" customHeight="false" outlineLevel="0" collapsed="false">
      <c r="A21" s="4" t="n">
        <v>17</v>
      </c>
      <c r="B21" s="6" t="s">
        <v>62</v>
      </c>
      <c r="C21" s="4" t="s">
        <v>115</v>
      </c>
      <c r="D21" s="6" t="s">
        <v>123</v>
      </c>
      <c r="E21" s="25" t="n">
        <v>-99.9</v>
      </c>
      <c r="F21" s="6" t="s">
        <v>124</v>
      </c>
      <c r="G21" s="4" t="s">
        <v>122</v>
      </c>
    </row>
    <row r="22" customFormat="false" ht="15" hidden="false" customHeight="false" outlineLevel="0" collapsed="false">
      <c r="A22" s="20" t="n">
        <v>18</v>
      </c>
      <c r="B22" s="19" t="s">
        <v>145</v>
      </c>
      <c r="C22" s="20" t="s">
        <v>115</v>
      </c>
      <c r="D22" s="19" t="s">
        <v>146</v>
      </c>
      <c r="E22" s="26" t="n">
        <v>-272.21</v>
      </c>
      <c r="F22" s="19" t="s">
        <v>143</v>
      </c>
      <c r="G22" s="20" t="s">
        <v>122</v>
      </c>
    </row>
    <row r="23" customFormat="false" ht="15" hidden="false" customHeight="false" outlineLevel="0" collapsed="false">
      <c r="A23" s="4" t="n">
        <v>19</v>
      </c>
      <c r="B23" s="6" t="s">
        <v>147</v>
      </c>
      <c r="C23" s="4" t="s">
        <v>115</v>
      </c>
      <c r="D23" s="6" t="s">
        <v>148</v>
      </c>
      <c r="E23" s="25" t="n">
        <v>-168</v>
      </c>
      <c r="F23" s="6" t="s">
        <v>134</v>
      </c>
      <c r="G23" s="4" t="s">
        <v>118</v>
      </c>
    </row>
    <row r="24" customFormat="false" ht="15" hidden="false" customHeight="false" outlineLevel="0" collapsed="false">
      <c r="A24" s="20" t="n">
        <v>20</v>
      </c>
      <c r="B24" s="19" t="s">
        <v>149</v>
      </c>
      <c r="C24" s="20" t="s">
        <v>115</v>
      </c>
      <c r="D24" s="19" t="s">
        <v>150</v>
      </c>
      <c r="E24" s="26" t="n">
        <v>-84</v>
      </c>
      <c r="F24" s="19" t="s">
        <v>134</v>
      </c>
      <c r="G24" s="20" t="s">
        <v>118</v>
      </c>
    </row>
    <row r="25" customFormat="false" ht="15" hidden="false" customHeight="false" outlineLevel="0" collapsed="false">
      <c r="A25" s="4" t="n">
        <v>21</v>
      </c>
      <c r="B25" s="6" t="s">
        <v>149</v>
      </c>
      <c r="C25" s="4" t="s">
        <v>151</v>
      </c>
      <c r="D25" s="6" t="s">
        <v>120</v>
      </c>
      <c r="E25" s="25" t="n">
        <v>-108.89</v>
      </c>
      <c r="F25" s="6" t="s">
        <v>121</v>
      </c>
      <c r="G25" s="4" t="s">
        <v>122</v>
      </c>
    </row>
    <row r="26" customFormat="false" ht="15" hidden="false" customHeight="false" outlineLevel="0" collapsed="false">
      <c r="A26" s="20" t="n">
        <v>22</v>
      </c>
      <c r="B26" s="19" t="s">
        <v>64</v>
      </c>
      <c r="C26" s="20" t="s">
        <v>151</v>
      </c>
      <c r="D26" s="19" t="s">
        <v>152</v>
      </c>
      <c r="E26" s="26" t="n">
        <v>-6282.36</v>
      </c>
      <c r="F26" s="19" t="s">
        <v>153</v>
      </c>
      <c r="G26" s="20" t="s">
        <v>118</v>
      </c>
    </row>
    <row r="27" customFormat="false" ht="15" hidden="false" customHeight="false" outlineLevel="0" collapsed="false">
      <c r="A27" s="4" t="n">
        <v>23</v>
      </c>
      <c r="B27" s="6" t="s">
        <v>154</v>
      </c>
      <c r="C27" s="4" t="s">
        <v>151</v>
      </c>
      <c r="D27" s="6" t="s">
        <v>155</v>
      </c>
      <c r="E27" s="25" t="n">
        <v>-51.75</v>
      </c>
      <c r="F27" s="6" t="s">
        <v>121</v>
      </c>
      <c r="G27" s="4" t="s">
        <v>122</v>
      </c>
    </row>
    <row r="28" customFormat="false" ht="15" hidden="false" customHeight="false" outlineLevel="0" collapsed="false">
      <c r="A28" s="20" t="n">
        <v>24</v>
      </c>
      <c r="B28" s="19" t="s">
        <v>154</v>
      </c>
      <c r="C28" s="20" t="s">
        <v>151</v>
      </c>
      <c r="D28" s="19" t="s">
        <v>156</v>
      </c>
      <c r="E28" s="26" t="n">
        <v>-206</v>
      </c>
      <c r="F28" s="19" t="s">
        <v>134</v>
      </c>
      <c r="G28" s="20" t="s">
        <v>122</v>
      </c>
    </row>
    <row r="29" customFormat="false" ht="15" hidden="false" customHeight="false" outlineLevel="0" collapsed="false">
      <c r="A29" s="4" t="n">
        <v>25</v>
      </c>
      <c r="B29" s="6" t="s">
        <v>157</v>
      </c>
      <c r="C29" s="4" t="s">
        <v>151</v>
      </c>
      <c r="D29" s="6" t="s">
        <v>158</v>
      </c>
      <c r="E29" s="25" t="n">
        <v>-235.52</v>
      </c>
      <c r="F29" s="6" t="s">
        <v>131</v>
      </c>
      <c r="G29" s="4" t="s">
        <v>122</v>
      </c>
    </row>
    <row r="30" customFormat="false" ht="15" hidden="false" customHeight="false" outlineLevel="0" collapsed="false">
      <c r="A30" s="20" t="n">
        <v>26</v>
      </c>
      <c r="B30" s="19" t="s">
        <v>159</v>
      </c>
      <c r="C30" s="20" t="s">
        <v>151</v>
      </c>
      <c r="D30" s="19" t="s">
        <v>120</v>
      </c>
      <c r="E30" s="26" t="n">
        <v>-108.27</v>
      </c>
      <c r="F30" s="19" t="s">
        <v>121</v>
      </c>
      <c r="G30" s="20" t="s">
        <v>122</v>
      </c>
    </row>
    <row r="31" customFormat="false" ht="15" hidden="false" customHeight="false" outlineLevel="0" collapsed="false">
      <c r="A31" s="4" t="n">
        <v>27</v>
      </c>
      <c r="B31" s="6" t="s">
        <v>160</v>
      </c>
      <c r="C31" s="4" t="s">
        <v>151</v>
      </c>
      <c r="D31" s="6" t="s">
        <v>128</v>
      </c>
      <c r="E31" s="25" t="n">
        <v>-538.2</v>
      </c>
      <c r="F31" s="6" t="s">
        <v>121</v>
      </c>
      <c r="G31" s="4" t="s">
        <v>122</v>
      </c>
    </row>
    <row r="32" customFormat="false" ht="15" hidden="false" customHeight="false" outlineLevel="0" collapsed="false">
      <c r="A32" s="20" t="n">
        <v>28</v>
      </c>
      <c r="B32" s="19" t="s">
        <v>161</v>
      </c>
      <c r="C32" s="20" t="s">
        <v>162</v>
      </c>
      <c r="D32" s="19" t="s">
        <v>120</v>
      </c>
      <c r="E32" s="26" t="n">
        <v>-108.47</v>
      </c>
      <c r="F32" s="19" t="s">
        <v>121</v>
      </c>
      <c r="G32" s="20" t="s">
        <v>122</v>
      </c>
    </row>
    <row r="33" customFormat="false" ht="15" hidden="false" customHeight="false" outlineLevel="0" collapsed="false">
      <c r="A33" s="4" t="n">
        <v>29</v>
      </c>
      <c r="B33" s="6" t="s">
        <v>163</v>
      </c>
      <c r="C33" s="4" t="s">
        <v>162</v>
      </c>
      <c r="D33" s="6" t="s">
        <v>164</v>
      </c>
      <c r="E33" s="25" t="n">
        <v>-453.64</v>
      </c>
      <c r="F33" s="6" t="s">
        <v>153</v>
      </c>
      <c r="G33" s="4" t="s">
        <v>118</v>
      </c>
    </row>
    <row r="34" customFormat="false" ht="15" hidden="false" customHeight="false" outlineLevel="0" collapsed="false">
      <c r="A34" s="20" t="n">
        <v>30</v>
      </c>
      <c r="B34" s="19" t="s">
        <v>163</v>
      </c>
      <c r="C34" s="20" t="s">
        <v>162</v>
      </c>
      <c r="D34" s="19" t="s">
        <v>165</v>
      </c>
      <c r="E34" s="26" t="n">
        <v>-54.76</v>
      </c>
      <c r="F34" s="19" t="s">
        <v>121</v>
      </c>
      <c r="G34" s="20" t="s">
        <v>122</v>
      </c>
    </row>
    <row r="35" customFormat="false" ht="15" hidden="false" customHeight="false" outlineLevel="0" collapsed="false">
      <c r="A35" s="4" t="n">
        <v>31</v>
      </c>
      <c r="B35" s="6" t="s">
        <v>166</v>
      </c>
      <c r="C35" s="4" t="s">
        <v>162</v>
      </c>
      <c r="D35" s="6" t="s">
        <v>167</v>
      </c>
      <c r="E35" s="25" t="n">
        <v>-9036.83</v>
      </c>
      <c r="F35" s="6" t="s">
        <v>168</v>
      </c>
      <c r="G35" s="4" t="s">
        <v>122</v>
      </c>
    </row>
    <row r="36" customFormat="false" ht="15" hidden="false" customHeight="false" outlineLevel="0" collapsed="false">
      <c r="A36" s="20" t="n">
        <v>32</v>
      </c>
      <c r="B36" s="19" t="s">
        <v>166</v>
      </c>
      <c r="C36" s="20" t="s">
        <v>162</v>
      </c>
      <c r="D36" s="19" t="s">
        <v>169</v>
      </c>
      <c r="E36" s="26" t="n">
        <v>-113.78</v>
      </c>
      <c r="F36" s="19" t="s">
        <v>143</v>
      </c>
      <c r="G36" s="20" t="s">
        <v>122</v>
      </c>
    </row>
    <row r="37" customFormat="false" ht="15" hidden="false" customHeight="false" outlineLevel="0" collapsed="false">
      <c r="A37" s="4" t="n">
        <v>33</v>
      </c>
      <c r="B37" s="6" t="s">
        <v>170</v>
      </c>
      <c r="C37" s="4" t="s">
        <v>162</v>
      </c>
      <c r="D37" s="6" t="s">
        <v>171</v>
      </c>
      <c r="E37" s="25" t="n">
        <v>-235.52</v>
      </c>
      <c r="F37" s="6" t="s">
        <v>131</v>
      </c>
      <c r="G37" s="4" t="s">
        <v>122</v>
      </c>
    </row>
    <row r="38" customFormat="false" ht="15" hidden="false" customHeight="false" outlineLevel="0" collapsed="false">
      <c r="A38" s="20" t="n">
        <v>34</v>
      </c>
      <c r="B38" s="19" t="s">
        <v>172</v>
      </c>
      <c r="C38" s="20" t="s">
        <v>162</v>
      </c>
      <c r="D38" s="19" t="s">
        <v>120</v>
      </c>
      <c r="E38" s="26" t="n">
        <v>-108.89</v>
      </c>
      <c r="F38" s="19" t="s">
        <v>121</v>
      </c>
      <c r="G38" s="20" t="s">
        <v>122</v>
      </c>
    </row>
    <row r="39" customFormat="false" ht="15" hidden="false" customHeight="false" outlineLevel="0" collapsed="false">
      <c r="A39" s="4" t="n">
        <v>35</v>
      </c>
      <c r="B39" s="6" t="s">
        <v>173</v>
      </c>
      <c r="C39" s="4" t="s">
        <v>162</v>
      </c>
      <c r="D39" s="6" t="s">
        <v>128</v>
      </c>
      <c r="E39" s="25" t="n">
        <v>-546.48</v>
      </c>
      <c r="F39" s="6" t="s">
        <v>121</v>
      </c>
      <c r="G39" s="4" t="s">
        <v>122</v>
      </c>
    </row>
    <row r="40" customFormat="false" ht="15" hidden="false" customHeight="false" outlineLevel="0" collapsed="false">
      <c r="A40" s="20" t="n">
        <v>36</v>
      </c>
      <c r="B40" s="19" t="s">
        <v>174</v>
      </c>
      <c r="C40" s="20" t="s">
        <v>162</v>
      </c>
      <c r="D40" s="19" t="s">
        <v>175</v>
      </c>
      <c r="E40" s="26" t="n">
        <v>-81.36</v>
      </c>
      <c r="F40" s="19" t="s">
        <v>121</v>
      </c>
      <c r="G40" s="20" t="s">
        <v>122</v>
      </c>
    </row>
    <row r="41" customFormat="false" ht="15" hidden="false" customHeight="false" outlineLevel="0" collapsed="false">
      <c r="A41" s="4" t="n">
        <v>37</v>
      </c>
      <c r="B41" s="6" t="s">
        <v>176</v>
      </c>
      <c r="C41" s="4" t="s">
        <v>162</v>
      </c>
      <c r="D41" s="6" t="s">
        <v>177</v>
      </c>
      <c r="E41" s="25" t="n">
        <v>-111.81</v>
      </c>
      <c r="F41" s="6" t="s">
        <v>121</v>
      </c>
      <c r="G41" s="4" t="s">
        <v>122</v>
      </c>
    </row>
    <row r="42" customFormat="false" ht="15" hidden="false" customHeight="false" outlineLevel="0" collapsed="false">
      <c r="A42" s="20" t="n">
        <v>38</v>
      </c>
      <c r="B42" s="19" t="s">
        <v>178</v>
      </c>
      <c r="C42" s="20" t="s">
        <v>179</v>
      </c>
      <c r="D42" s="19" t="s">
        <v>120</v>
      </c>
      <c r="E42" s="26" t="n">
        <v>-107.02</v>
      </c>
      <c r="F42" s="19" t="s">
        <v>121</v>
      </c>
      <c r="G42" s="20" t="s">
        <v>122</v>
      </c>
    </row>
    <row r="43" customFormat="false" ht="15" hidden="false" customHeight="false" outlineLevel="0" collapsed="false">
      <c r="A43" s="4" t="n">
        <v>39</v>
      </c>
      <c r="B43" s="6" t="s">
        <v>180</v>
      </c>
      <c r="C43" s="4" t="s">
        <v>179</v>
      </c>
      <c r="D43" s="6" t="s">
        <v>120</v>
      </c>
      <c r="E43" s="25" t="n">
        <v>-103.5</v>
      </c>
      <c r="F43" s="6" t="s">
        <v>121</v>
      </c>
      <c r="G43" s="4" t="s">
        <v>122</v>
      </c>
    </row>
    <row r="44" customFormat="false" ht="15" hidden="false" customHeight="false" outlineLevel="0" collapsed="false">
      <c r="A44" s="20" t="n">
        <v>40</v>
      </c>
      <c r="B44" s="19" t="s">
        <v>181</v>
      </c>
      <c r="C44" s="20" t="s">
        <v>179</v>
      </c>
      <c r="D44" s="19" t="s">
        <v>182</v>
      </c>
      <c r="E44" s="26" t="n">
        <v>-509</v>
      </c>
      <c r="F44" s="19" t="s">
        <v>143</v>
      </c>
      <c r="G44" s="20" t="s">
        <v>118</v>
      </c>
    </row>
    <row r="45" customFormat="false" ht="15" hidden="false" customHeight="false" outlineLevel="0" collapsed="false">
      <c r="A45" s="4" t="n">
        <v>41</v>
      </c>
      <c r="B45" s="6" t="s">
        <v>183</v>
      </c>
      <c r="C45" s="4" t="s">
        <v>179</v>
      </c>
      <c r="D45" s="6" t="s">
        <v>128</v>
      </c>
      <c r="E45" s="25" t="n">
        <v>-515.43</v>
      </c>
      <c r="F45" s="6" t="s">
        <v>121</v>
      </c>
      <c r="G45" s="4" t="s">
        <v>122</v>
      </c>
    </row>
    <row r="46" customFormat="false" ht="15" hidden="false" customHeight="false" outlineLevel="0" collapsed="false">
      <c r="A46" s="20" t="n">
        <v>42</v>
      </c>
      <c r="B46" s="19" t="s">
        <v>184</v>
      </c>
      <c r="C46" s="20" t="s">
        <v>179</v>
      </c>
      <c r="D46" s="19" t="s">
        <v>185</v>
      </c>
      <c r="E46" s="26" t="n">
        <v>-107.61</v>
      </c>
      <c r="F46" s="19" t="s">
        <v>121</v>
      </c>
      <c r="G46" s="20" t="s">
        <v>122</v>
      </c>
    </row>
    <row r="47" customFormat="false" ht="15" hidden="false" customHeight="false" outlineLevel="0" collapsed="false">
      <c r="A47" s="4" t="n">
        <v>43</v>
      </c>
      <c r="B47" s="6" t="s">
        <v>186</v>
      </c>
      <c r="C47" s="4" t="s">
        <v>179</v>
      </c>
      <c r="D47" s="6" t="s">
        <v>187</v>
      </c>
      <c r="E47" s="25" t="n">
        <v>-103.71</v>
      </c>
      <c r="F47" s="6" t="s">
        <v>121</v>
      </c>
      <c r="G47" s="4" t="s">
        <v>122</v>
      </c>
    </row>
    <row r="48" customFormat="false" ht="15" hidden="false" customHeight="false" outlineLevel="0" collapsed="false">
      <c r="A48" s="20" t="n">
        <v>44</v>
      </c>
      <c r="B48" s="19" t="s">
        <v>188</v>
      </c>
      <c r="C48" s="20" t="s">
        <v>179</v>
      </c>
      <c r="D48" s="19" t="s">
        <v>177</v>
      </c>
      <c r="E48" s="26" t="n">
        <v>-111.81</v>
      </c>
      <c r="F48" s="19" t="s">
        <v>121</v>
      </c>
      <c r="G48" s="20" t="s">
        <v>122</v>
      </c>
    </row>
    <row r="49" customFormat="false" ht="15" hidden="false" customHeight="false" outlineLevel="0" collapsed="false">
      <c r="A49" s="4" t="n">
        <v>45</v>
      </c>
      <c r="B49" s="6" t="s">
        <v>189</v>
      </c>
      <c r="C49" s="4" t="s">
        <v>179</v>
      </c>
      <c r="D49" s="6" t="s">
        <v>171</v>
      </c>
      <c r="E49" s="25" t="n">
        <v>-235.52</v>
      </c>
      <c r="F49" s="6" t="s">
        <v>131</v>
      </c>
      <c r="G49" s="4" t="s">
        <v>118</v>
      </c>
    </row>
    <row r="50" customFormat="false" ht="15" hidden="false" customHeight="false" outlineLevel="0" collapsed="false">
      <c r="A50" s="20" t="n">
        <v>46</v>
      </c>
      <c r="B50" s="19" t="s">
        <v>190</v>
      </c>
      <c r="C50" s="20" t="s">
        <v>191</v>
      </c>
      <c r="D50" s="19" t="s">
        <v>120</v>
      </c>
      <c r="E50" s="26" t="n">
        <v>-101.85</v>
      </c>
      <c r="F50" s="19" t="s">
        <v>121</v>
      </c>
      <c r="G50" s="20" t="s">
        <v>122</v>
      </c>
    </row>
    <row r="51" customFormat="false" ht="15" hidden="false" customHeight="false" outlineLevel="0" collapsed="false">
      <c r="A51" s="4" t="n">
        <v>47</v>
      </c>
      <c r="B51" s="6" t="s">
        <v>192</v>
      </c>
      <c r="C51" s="4" t="s">
        <v>191</v>
      </c>
      <c r="D51" s="6" t="s">
        <v>165</v>
      </c>
      <c r="E51" s="25" t="n">
        <v>-50.93</v>
      </c>
      <c r="F51" s="6" t="s">
        <v>121</v>
      </c>
      <c r="G51" s="4" t="s">
        <v>122</v>
      </c>
    </row>
    <row r="52" customFormat="false" ht="15" hidden="false" customHeight="false" outlineLevel="0" collapsed="false">
      <c r="A52" s="20" t="n">
        <v>48</v>
      </c>
      <c r="B52" s="19" t="s">
        <v>193</v>
      </c>
      <c r="C52" s="20" t="s">
        <v>191</v>
      </c>
      <c r="D52" s="19" t="s">
        <v>120</v>
      </c>
      <c r="E52" s="26" t="n">
        <v>-104.95</v>
      </c>
      <c r="F52" s="19" t="s">
        <v>121</v>
      </c>
      <c r="G52" s="20" t="s">
        <v>122</v>
      </c>
    </row>
    <row r="53" customFormat="false" ht="15" hidden="false" customHeight="false" outlineLevel="0" collapsed="false">
      <c r="A53" s="4" t="n">
        <v>49</v>
      </c>
      <c r="B53" s="6" t="s">
        <v>77</v>
      </c>
      <c r="C53" s="4" t="s">
        <v>191</v>
      </c>
      <c r="D53" s="6" t="s">
        <v>185</v>
      </c>
      <c r="E53" s="25" t="n">
        <v>-83.44</v>
      </c>
      <c r="F53" s="6" t="s">
        <v>121</v>
      </c>
      <c r="G53" s="4" t="s">
        <v>122</v>
      </c>
    </row>
    <row r="54" customFormat="false" ht="15" hidden="false" customHeight="false" outlineLevel="0" collapsed="false">
      <c r="A54" s="20" t="n">
        <v>50</v>
      </c>
      <c r="B54" s="19" t="s">
        <v>79</v>
      </c>
      <c r="C54" s="20" t="s">
        <v>191</v>
      </c>
      <c r="D54" s="19" t="s">
        <v>194</v>
      </c>
      <c r="E54" s="26" t="n">
        <v>-269</v>
      </c>
      <c r="F54" s="19" t="s">
        <v>124</v>
      </c>
      <c r="G54" s="20" t="s">
        <v>122</v>
      </c>
    </row>
    <row r="55" customFormat="false" ht="15" hidden="false" customHeight="false" outlineLevel="0" collapsed="false">
      <c r="A55" s="4" t="n">
        <v>51</v>
      </c>
      <c r="B55" s="6" t="s">
        <v>87</v>
      </c>
      <c r="C55" s="4" t="s">
        <v>191</v>
      </c>
      <c r="D55" s="6" t="s">
        <v>155</v>
      </c>
      <c r="E55" s="25" t="n">
        <v>-103.5</v>
      </c>
      <c r="F55" s="6" t="s">
        <v>121</v>
      </c>
      <c r="G55" s="4" t="s">
        <v>122</v>
      </c>
    </row>
    <row r="56" customFormat="false" ht="15" hidden="false" customHeight="false" outlineLevel="0" collapsed="false">
      <c r="A56" s="20" t="n">
        <v>52</v>
      </c>
      <c r="B56" s="19" t="s">
        <v>195</v>
      </c>
      <c r="C56" s="20" t="s">
        <v>191</v>
      </c>
      <c r="D56" s="19" t="s">
        <v>141</v>
      </c>
      <c r="E56" s="26" t="n">
        <v>-113.85</v>
      </c>
      <c r="F56" s="19" t="s">
        <v>121</v>
      </c>
      <c r="G56" s="20" t="s">
        <v>122</v>
      </c>
    </row>
    <row r="57" customFormat="false" ht="15" hidden="false" customHeight="false" outlineLevel="0" collapsed="false">
      <c r="A57" s="4" t="n">
        <v>53</v>
      </c>
      <c r="B57" s="6" t="s">
        <v>196</v>
      </c>
      <c r="C57" s="4" t="s">
        <v>191</v>
      </c>
      <c r="D57" s="6" t="s">
        <v>177</v>
      </c>
      <c r="E57" s="25" t="n">
        <v>-111.81</v>
      </c>
      <c r="F57" s="6" t="s">
        <v>121</v>
      </c>
      <c r="G57" s="4" t="s">
        <v>122</v>
      </c>
    </row>
    <row r="58" customFormat="false" ht="15" hidden="false" customHeight="false" outlineLevel="0" collapsed="false">
      <c r="A58" s="20" t="n">
        <v>54</v>
      </c>
      <c r="B58" s="19" t="s">
        <v>196</v>
      </c>
      <c r="C58" s="20" t="s">
        <v>191</v>
      </c>
      <c r="D58" s="19" t="s">
        <v>187</v>
      </c>
      <c r="E58" s="26" t="n">
        <v>-78.56</v>
      </c>
      <c r="F58" s="19" t="s">
        <v>121</v>
      </c>
      <c r="G58" s="20" t="s">
        <v>122</v>
      </c>
    </row>
    <row r="59" customFormat="false" ht="15" hidden="false" customHeight="false" outlineLevel="0" collapsed="false">
      <c r="A59" s="4" t="n">
        <v>55</v>
      </c>
      <c r="B59" s="6" t="s">
        <v>197</v>
      </c>
      <c r="C59" s="4" t="s">
        <v>191</v>
      </c>
      <c r="D59" s="6" t="s">
        <v>171</v>
      </c>
      <c r="E59" s="25" t="n">
        <v>-235.52</v>
      </c>
      <c r="F59" s="6" t="s">
        <v>131</v>
      </c>
      <c r="G59" s="4" t="s">
        <v>118</v>
      </c>
    </row>
    <row r="60" customFormat="false" ht="15" hidden="false" customHeight="false" outlineLevel="0" collapsed="false">
      <c r="A60" s="20" t="n">
        <v>56</v>
      </c>
      <c r="B60" s="19" t="s">
        <v>197</v>
      </c>
      <c r="C60" s="20" t="s">
        <v>191</v>
      </c>
      <c r="D60" s="19" t="s">
        <v>198</v>
      </c>
      <c r="E60" s="26" t="n">
        <v>-74.43</v>
      </c>
      <c r="F60" s="19" t="s">
        <v>199</v>
      </c>
      <c r="G60" s="20" t="s">
        <v>118</v>
      </c>
    </row>
    <row r="61" customFormat="false" ht="15" hidden="false" customHeight="false" outlineLevel="0" collapsed="false">
      <c r="A61" s="4" t="n">
        <v>57</v>
      </c>
      <c r="B61" s="6" t="s">
        <v>200</v>
      </c>
      <c r="C61" s="4" t="s">
        <v>191</v>
      </c>
      <c r="D61" s="6" t="s">
        <v>187</v>
      </c>
      <c r="E61" s="25" t="n">
        <v>-78.25</v>
      </c>
      <c r="F61" s="6" t="s">
        <v>121</v>
      </c>
      <c r="G61" s="4" t="s">
        <v>122</v>
      </c>
    </row>
    <row r="62" customFormat="false" ht="15" hidden="false" customHeight="false" outlineLevel="0" collapsed="false">
      <c r="A62" s="20" t="n">
        <v>58</v>
      </c>
      <c r="B62" s="19" t="s">
        <v>200</v>
      </c>
      <c r="C62" s="20" t="s">
        <v>191</v>
      </c>
      <c r="D62" s="19" t="s">
        <v>187</v>
      </c>
      <c r="E62" s="26" t="n">
        <v>-78.25</v>
      </c>
      <c r="F62" s="19" t="s">
        <v>121</v>
      </c>
      <c r="G62" s="20" t="s">
        <v>122</v>
      </c>
    </row>
    <row r="63" customFormat="false" ht="15" hidden="false" customHeight="false" outlineLevel="0" collapsed="false">
      <c r="A63" s="4" t="n">
        <v>59</v>
      </c>
      <c r="B63" s="6" t="s">
        <v>88</v>
      </c>
      <c r="C63" s="4" t="s">
        <v>191</v>
      </c>
      <c r="D63" s="6" t="s">
        <v>187</v>
      </c>
      <c r="E63" s="25" t="n">
        <v>-78.25</v>
      </c>
      <c r="F63" s="6" t="s">
        <v>121</v>
      </c>
      <c r="G63" s="4" t="s">
        <v>122</v>
      </c>
    </row>
    <row r="65" customFormat="false" ht="15" hidden="false" customHeight="false" outlineLevel="0" collapsed="false">
      <c r="A65" s="11" t="s">
        <v>201</v>
      </c>
    </row>
    <row r="66" customFormat="false" ht="15" hidden="false" customHeight="false" outlineLevel="0" collapsed="false">
      <c r="D66" s="8" t="s">
        <v>202</v>
      </c>
      <c r="E66" s="10" t="n">
        <f aca="false">SUM(E5:E63)</f>
        <v>-26007.55</v>
      </c>
    </row>
    <row r="67" customFormat="false" ht="15" hidden="false" customHeight="false" outlineLevel="0" collapsed="false">
      <c r="D67" s="4" t="s">
        <v>203</v>
      </c>
      <c r="E67" s="4" t="n">
        <f aca="false">COUNTA(B5:B63)</f>
        <v>59</v>
      </c>
    </row>
    <row r="69" customFormat="false" ht="15" hidden="false" customHeight="false" outlineLevel="0" collapsed="false">
      <c r="A69" s="7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205</v>
      </c>
    </row>
    <row r="2" customFormat="false" ht="15" hidden="false" customHeight="false" outlineLevel="0" collapsed="false">
      <c r="A2" s="2" t="s">
        <v>206</v>
      </c>
    </row>
    <row r="4" customFormat="false" ht="15" hidden="false" customHeight="false" outlineLevel="0" collapsed="false">
      <c r="A4" s="3" t="s">
        <v>207</v>
      </c>
      <c r="B4" s="3" t="s">
        <v>208</v>
      </c>
      <c r="C4" s="3" t="s">
        <v>209</v>
      </c>
      <c r="D4" s="3" t="s">
        <v>46</v>
      </c>
      <c r="E4" s="3" t="s">
        <v>210</v>
      </c>
      <c r="F4" s="3" t="s">
        <v>112</v>
      </c>
      <c r="G4" s="3" t="s">
        <v>211</v>
      </c>
      <c r="H4" s="3" t="s">
        <v>212</v>
      </c>
      <c r="I4" s="3" t="s">
        <v>213</v>
      </c>
      <c r="J4" s="3" t="s">
        <v>7</v>
      </c>
    </row>
    <row r="5" customFormat="false" ht="15" hidden="false" customHeight="false" outlineLevel="0" collapsed="false">
      <c r="A5" s="4" t="s">
        <v>214</v>
      </c>
      <c r="B5" s="4" t="s">
        <v>215</v>
      </c>
      <c r="C5" s="4" t="s">
        <v>216</v>
      </c>
      <c r="D5" s="4" t="s">
        <v>83</v>
      </c>
      <c r="E5" s="5" t="n">
        <v>92</v>
      </c>
      <c r="F5" s="4" t="s">
        <v>217</v>
      </c>
      <c r="G5" s="4" t="s">
        <v>218</v>
      </c>
      <c r="H5" s="27" t="s">
        <v>219</v>
      </c>
      <c r="I5" s="27" t="s">
        <v>220</v>
      </c>
      <c r="J5" s="27" t="s">
        <v>478</v>
      </c>
    </row>
    <row r="6" customFormat="false" ht="15" hidden="false" customHeight="false" outlineLevel="0" collapsed="false">
      <c r="A6" s="20" t="s">
        <v>214</v>
      </c>
      <c r="B6" s="20" t="s">
        <v>215</v>
      </c>
      <c r="C6" s="20" t="s">
        <v>222</v>
      </c>
      <c r="D6" s="20" t="s">
        <v>83</v>
      </c>
      <c r="E6" s="5" t="n">
        <v>92</v>
      </c>
      <c r="F6" s="20" t="s">
        <v>217</v>
      </c>
      <c r="G6" s="20" t="s">
        <v>218</v>
      </c>
      <c r="H6" s="27" t="s">
        <v>219</v>
      </c>
      <c r="I6" s="27" t="s">
        <v>220</v>
      </c>
      <c r="J6" s="27" t="s">
        <v>478</v>
      </c>
    </row>
    <row r="7" customFormat="false" ht="15" hidden="false" customHeight="false" outlineLevel="0" collapsed="false">
      <c r="A7" s="4" t="s">
        <v>223</v>
      </c>
      <c r="B7" s="4" t="s">
        <v>224</v>
      </c>
      <c r="C7" s="4" t="s">
        <v>225</v>
      </c>
      <c r="D7" s="4" t="s">
        <v>55</v>
      </c>
      <c r="E7" s="5" t="n">
        <v>106</v>
      </c>
      <c r="F7" s="4" t="s">
        <v>226</v>
      </c>
      <c r="G7" s="4" t="s">
        <v>227</v>
      </c>
      <c r="H7" s="27" t="s">
        <v>228</v>
      </c>
      <c r="I7" s="27"/>
      <c r="J7" s="27" t="s">
        <v>229</v>
      </c>
    </row>
    <row r="8" customFormat="false" ht="15" hidden="false" customHeight="false" outlineLevel="0" collapsed="false">
      <c r="A8" s="20" t="s">
        <v>230</v>
      </c>
      <c r="B8" s="20" t="s">
        <v>215</v>
      </c>
      <c r="C8" s="20" t="s">
        <v>222</v>
      </c>
      <c r="D8" s="20" t="s">
        <v>83</v>
      </c>
      <c r="E8" s="5" t="n">
        <v>96.99</v>
      </c>
      <c r="F8" s="20" t="s">
        <v>231</v>
      </c>
      <c r="G8" s="20" t="s">
        <v>218</v>
      </c>
      <c r="H8" s="27" t="s">
        <v>232</v>
      </c>
      <c r="I8" s="27"/>
      <c r="J8" s="27" t="s">
        <v>229</v>
      </c>
    </row>
    <row r="9" customFormat="false" ht="15" hidden="false" customHeight="false" outlineLevel="0" collapsed="false">
      <c r="A9" s="4" t="s">
        <v>233</v>
      </c>
      <c r="B9" s="4" t="s">
        <v>234</v>
      </c>
      <c r="C9" s="4" t="s">
        <v>235</v>
      </c>
      <c r="D9" s="4" t="s">
        <v>236</v>
      </c>
      <c r="E9" s="5" t="n">
        <v>0</v>
      </c>
      <c r="F9" s="4" t="s">
        <v>237</v>
      </c>
      <c r="G9" s="4" t="s">
        <v>238</v>
      </c>
      <c r="H9" s="27" t="s">
        <v>232</v>
      </c>
      <c r="I9" s="27"/>
      <c r="J9" s="27" t="s">
        <v>239</v>
      </c>
    </row>
    <row r="10" customFormat="false" ht="15" hidden="false" customHeight="false" outlineLevel="0" collapsed="false">
      <c r="A10" s="20" t="s">
        <v>233</v>
      </c>
      <c r="B10" s="20" t="s">
        <v>234</v>
      </c>
      <c r="C10" s="20" t="s">
        <v>216</v>
      </c>
      <c r="D10" s="20" t="s">
        <v>236</v>
      </c>
      <c r="E10" s="5" t="n">
        <v>418.43</v>
      </c>
      <c r="F10" s="20" t="s">
        <v>237</v>
      </c>
      <c r="G10" s="20" t="s">
        <v>238</v>
      </c>
      <c r="H10" s="27" t="s">
        <v>219</v>
      </c>
      <c r="I10" s="27"/>
      <c r="J10" s="27" t="s">
        <v>221</v>
      </c>
    </row>
    <row r="11" customFormat="false" ht="15" hidden="false" customHeight="false" outlineLevel="0" collapsed="false">
      <c r="A11" s="4" t="s">
        <v>240</v>
      </c>
      <c r="B11" s="4" t="s">
        <v>215</v>
      </c>
      <c r="C11" s="4" t="s">
        <v>225</v>
      </c>
      <c r="D11" s="4" t="s">
        <v>55</v>
      </c>
      <c r="E11" s="5" t="n">
        <v>106</v>
      </c>
      <c r="F11" s="4" t="s">
        <v>241</v>
      </c>
      <c r="G11" s="4" t="s">
        <v>227</v>
      </c>
      <c r="H11" s="27" t="s">
        <v>228</v>
      </c>
      <c r="I11" s="27"/>
      <c r="J11" s="27" t="s">
        <v>229</v>
      </c>
    </row>
    <row r="12" customFormat="false" ht="15" hidden="false" customHeight="false" outlineLevel="0" collapsed="false">
      <c r="A12" s="20" t="s">
        <v>242</v>
      </c>
      <c r="B12" s="20" t="s">
        <v>243</v>
      </c>
      <c r="C12" s="20" t="s">
        <v>216</v>
      </c>
      <c r="D12" s="20" t="s">
        <v>236</v>
      </c>
      <c r="E12" s="5" t="n">
        <v>45.37</v>
      </c>
      <c r="F12" s="20" t="s">
        <v>244</v>
      </c>
      <c r="G12" s="20" t="s">
        <v>238</v>
      </c>
      <c r="H12" s="27" t="s">
        <v>232</v>
      </c>
      <c r="I12" s="27"/>
      <c r="J12" s="27" t="s">
        <v>239</v>
      </c>
    </row>
    <row r="13" customFormat="false" ht="15" hidden="false" customHeight="false" outlineLevel="0" collapsed="false">
      <c r="A13" s="4" t="s">
        <v>245</v>
      </c>
      <c r="B13" s="4" t="s">
        <v>246</v>
      </c>
      <c r="C13" s="4" t="s">
        <v>239</v>
      </c>
      <c r="D13" s="4" t="s">
        <v>83</v>
      </c>
      <c r="E13" s="5" t="n">
        <v>15.41</v>
      </c>
      <c r="F13" s="4" t="s">
        <v>247</v>
      </c>
      <c r="G13" s="4" t="s">
        <v>248</v>
      </c>
      <c r="H13" s="27" t="s">
        <v>232</v>
      </c>
      <c r="I13" s="27" t="s">
        <v>249</v>
      </c>
      <c r="J13" s="27" t="s">
        <v>229</v>
      </c>
    </row>
    <row r="14" customFormat="false" ht="15" hidden="false" customHeight="false" outlineLevel="0" collapsed="false">
      <c r="A14" s="20" t="s">
        <v>250</v>
      </c>
      <c r="B14" s="20" t="s">
        <v>251</v>
      </c>
      <c r="C14" s="20" t="s">
        <v>239</v>
      </c>
      <c r="D14" s="20" t="s">
        <v>83</v>
      </c>
      <c r="E14" s="5" t="n">
        <v>149.9</v>
      </c>
      <c r="F14" s="20" t="s">
        <v>252</v>
      </c>
      <c r="G14" s="20" t="s">
        <v>218</v>
      </c>
      <c r="H14" s="27" t="s">
        <v>219</v>
      </c>
      <c r="I14" s="27" t="s">
        <v>253</v>
      </c>
      <c r="J14" s="27" t="s">
        <v>478</v>
      </c>
    </row>
    <row r="15" customFormat="false" ht="15" hidden="false" customHeight="false" outlineLevel="0" collapsed="false">
      <c r="A15" s="4" t="s">
        <v>254</v>
      </c>
      <c r="B15" s="4" t="s">
        <v>255</v>
      </c>
      <c r="C15" s="4" t="s">
        <v>239</v>
      </c>
      <c r="D15" s="4" t="s">
        <v>83</v>
      </c>
      <c r="E15" s="5" t="n">
        <v>19.9</v>
      </c>
      <c r="F15" s="4" t="s">
        <v>256</v>
      </c>
      <c r="G15" s="4" t="s">
        <v>248</v>
      </c>
      <c r="H15" s="27" t="s">
        <v>228</v>
      </c>
      <c r="I15" s="27" t="s">
        <v>257</v>
      </c>
      <c r="J15" s="27" t="s">
        <v>229</v>
      </c>
    </row>
    <row r="16" customFormat="false" ht="15" hidden="false" customHeight="false" outlineLevel="0" collapsed="false">
      <c r="A16" s="20" t="s">
        <v>258</v>
      </c>
      <c r="B16" s="20" t="s">
        <v>259</v>
      </c>
      <c r="C16" s="20" t="s">
        <v>239</v>
      </c>
      <c r="D16" s="20" t="s">
        <v>83</v>
      </c>
      <c r="E16" s="5" t="n">
        <v>42.42</v>
      </c>
      <c r="F16" s="20" t="s">
        <v>260</v>
      </c>
      <c r="G16" s="20" t="s">
        <v>227</v>
      </c>
      <c r="H16" s="27" t="s">
        <v>232</v>
      </c>
      <c r="I16" s="27" t="s">
        <v>261</v>
      </c>
      <c r="J16" s="27" t="s">
        <v>229</v>
      </c>
    </row>
    <row r="17" customFormat="false" ht="15" hidden="false" customHeight="false" outlineLevel="0" collapsed="false">
      <c r="A17" s="4" t="s">
        <v>262</v>
      </c>
      <c r="B17" s="4" t="s">
        <v>246</v>
      </c>
      <c r="C17" s="4" t="s">
        <v>239</v>
      </c>
      <c r="D17" s="4" t="s">
        <v>83</v>
      </c>
      <c r="E17" s="5" t="n">
        <v>28.33</v>
      </c>
      <c r="F17" s="4" t="s">
        <v>263</v>
      </c>
      <c r="G17" s="4" t="s">
        <v>248</v>
      </c>
      <c r="H17" s="27" t="s">
        <v>232</v>
      </c>
      <c r="I17" s="27" t="s">
        <v>264</v>
      </c>
      <c r="J17" s="27" t="s">
        <v>229</v>
      </c>
    </row>
    <row r="18" customFormat="false" ht="15" hidden="false" customHeight="false" outlineLevel="0" collapsed="false">
      <c r="A18" s="20" t="s">
        <v>265</v>
      </c>
      <c r="B18" s="20" t="s">
        <v>266</v>
      </c>
      <c r="C18" s="20" t="s">
        <v>239</v>
      </c>
      <c r="D18" s="20" t="s">
        <v>83</v>
      </c>
      <c r="E18" s="5" t="n">
        <v>99.9</v>
      </c>
      <c r="F18" s="20" t="s">
        <v>267</v>
      </c>
      <c r="G18" s="20" t="s">
        <v>218</v>
      </c>
      <c r="H18" s="27" t="s">
        <v>228</v>
      </c>
      <c r="I18" s="27" t="s">
        <v>268</v>
      </c>
      <c r="J18" s="27" t="s">
        <v>229</v>
      </c>
    </row>
    <row r="19" customFormat="false" ht="15" hidden="false" customHeight="false" outlineLevel="0" collapsed="false">
      <c r="A19" s="4" t="s">
        <v>269</v>
      </c>
      <c r="B19" s="4" t="s">
        <v>270</v>
      </c>
      <c r="C19" s="4" t="s">
        <v>239</v>
      </c>
      <c r="D19" s="4" t="s">
        <v>83</v>
      </c>
      <c r="E19" s="5" t="n">
        <v>31.9</v>
      </c>
      <c r="F19" s="4" t="s">
        <v>271</v>
      </c>
      <c r="G19" s="4" t="s">
        <v>248</v>
      </c>
      <c r="H19" s="27" t="s">
        <v>219</v>
      </c>
      <c r="I19" s="27" t="s">
        <v>272</v>
      </c>
      <c r="J19" s="27" t="s">
        <v>478</v>
      </c>
    </row>
    <row r="21" customFormat="false" ht="15" hidden="false" customHeight="false" outlineLevel="0" collapsed="false">
      <c r="A21" s="11" t="s">
        <v>273</v>
      </c>
    </row>
    <row r="22" customFormat="false" ht="15" hidden="false" customHeight="false" outlineLevel="0" collapsed="false">
      <c r="A22" s="28" t="s">
        <v>274</v>
      </c>
      <c r="E22" s="24" t="n">
        <f aca="false">SUMIFS(E5:E19,H5:H19,"KEEP")</f>
        <v>331.8</v>
      </c>
      <c r="F22" s="4" t="n">
        <f aca="false">COUNTIF(H5:H19,"KEEP")</f>
        <v>4</v>
      </c>
    </row>
    <row r="23" customFormat="false" ht="15" hidden="false" customHeight="false" outlineLevel="0" collapsed="false">
      <c r="A23" s="28" t="s">
        <v>275</v>
      </c>
      <c r="E23" s="24" t="n">
        <f aca="false">SUMIFS(E5:E19,H5:H19,"CANCEL")</f>
        <v>784.23</v>
      </c>
      <c r="F23" s="4" t="n">
        <f aca="false">COUNTIF(H5:H19,"CANCEL")</f>
        <v>5</v>
      </c>
    </row>
    <row r="24" customFormat="false" ht="15" hidden="false" customHeight="false" outlineLevel="0" collapsed="false">
      <c r="A24" s="28" t="s">
        <v>276</v>
      </c>
      <c r="E24" s="24" t="n">
        <f aca="false">SUMIFS(E5:E19,H5:H19,"REVIEW")</f>
        <v>228.52</v>
      </c>
      <c r="F24" s="4" t="n">
        <f aca="false">COUNTIF(H5:H19,"REVIEW")</f>
        <v>6</v>
      </c>
    </row>
    <row r="26" customFormat="false" ht="15" hidden="false" customHeight="false" outlineLevel="0" collapsed="false">
      <c r="A26" s="8" t="s">
        <v>277</v>
      </c>
      <c r="E26" s="10" t="n">
        <f aca="false">E23*12</f>
        <v>9410.76</v>
      </c>
    </row>
    <row r="27" customFormat="false" ht="15" hidden="false" customHeight="false" outlineLevel="0" collapsed="false">
      <c r="A27" s="8" t="s">
        <v>278</v>
      </c>
      <c r="E27" s="10" t="n">
        <f aca="false">SUM(E5:E19)</f>
        <v>1344.55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279</v>
      </c>
    </row>
    <row r="2" customFormat="false" ht="15" hidden="false" customHeight="false" outlineLevel="0" collapsed="false">
      <c r="A2" s="2" t="s">
        <v>280</v>
      </c>
    </row>
    <row r="4" customFormat="false" ht="15" hidden="false" customHeight="false" outlineLevel="0" collapsed="false">
      <c r="A4" s="3" t="s">
        <v>44</v>
      </c>
      <c r="B4" s="3" t="s">
        <v>3</v>
      </c>
      <c r="C4" s="3" t="s">
        <v>281</v>
      </c>
      <c r="D4" s="3" t="s">
        <v>282</v>
      </c>
      <c r="E4" s="3" t="s">
        <v>283</v>
      </c>
      <c r="F4" s="3" t="s">
        <v>284</v>
      </c>
    </row>
    <row r="5" customFormat="false" ht="15" hidden="false" customHeight="false" outlineLevel="0" collapsed="false">
      <c r="A5" s="6" t="s">
        <v>285</v>
      </c>
      <c r="B5" s="6" t="s">
        <v>286</v>
      </c>
      <c r="C5" s="6" t="s">
        <v>287</v>
      </c>
      <c r="D5" s="25" t="n">
        <v>2000</v>
      </c>
    </row>
    <row r="6" customFormat="false" ht="15" hidden="false" customHeight="false" outlineLevel="0" collapsed="false">
      <c r="A6" s="19" t="s">
        <v>285</v>
      </c>
      <c r="B6" s="19" t="s">
        <v>286</v>
      </c>
      <c r="C6" s="19" t="s">
        <v>288</v>
      </c>
      <c r="D6" s="26" t="n">
        <v>40000</v>
      </c>
      <c r="E6" s="29"/>
      <c r="F6" s="29"/>
    </row>
    <row r="7" customFormat="false" ht="15" hidden="false" customHeight="false" outlineLevel="0" collapsed="false">
      <c r="A7" s="6" t="s">
        <v>289</v>
      </c>
      <c r="B7" s="6" t="s">
        <v>286</v>
      </c>
      <c r="C7" s="6" t="s">
        <v>288</v>
      </c>
      <c r="D7" s="25" t="n">
        <v>10</v>
      </c>
    </row>
    <row r="8" customFormat="false" ht="15" hidden="false" customHeight="false" outlineLevel="0" collapsed="false">
      <c r="A8" s="19" t="s">
        <v>88</v>
      </c>
      <c r="B8" s="19" t="s">
        <v>290</v>
      </c>
      <c r="C8" s="19" t="s">
        <v>291</v>
      </c>
      <c r="D8" s="26" t="n">
        <v>-480</v>
      </c>
      <c r="E8" s="29"/>
      <c r="F8" s="29"/>
    </row>
    <row r="9" customFormat="false" ht="15" hidden="false" customHeight="false" outlineLevel="0" collapsed="false">
      <c r="A9" s="6" t="s">
        <v>87</v>
      </c>
      <c r="B9" s="6" t="s">
        <v>290</v>
      </c>
      <c r="C9" s="6" t="s">
        <v>291</v>
      </c>
      <c r="D9" s="25" t="n">
        <v>-450</v>
      </c>
    </row>
    <row r="10" customFormat="false" ht="15" hidden="false" customHeight="false" outlineLevel="0" collapsed="false">
      <c r="A10" s="19" t="s">
        <v>292</v>
      </c>
      <c r="B10" s="19" t="s">
        <v>290</v>
      </c>
      <c r="C10" s="19" t="s">
        <v>291</v>
      </c>
      <c r="D10" s="26" t="n">
        <v>-470</v>
      </c>
      <c r="E10" s="29"/>
      <c r="F10" s="29"/>
    </row>
    <row r="11" customFormat="false" ht="15" hidden="false" customHeight="false" outlineLevel="0" collapsed="false">
      <c r="A11" s="6" t="s">
        <v>293</v>
      </c>
      <c r="B11" s="6" t="s">
        <v>290</v>
      </c>
      <c r="C11" s="6" t="s">
        <v>294</v>
      </c>
      <c r="D11" s="25" t="n">
        <v>-700</v>
      </c>
    </row>
    <row r="12" customFormat="false" ht="15" hidden="false" customHeight="false" outlineLevel="0" collapsed="false">
      <c r="A12" s="19" t="s">
        <v>81</v>
      </c>
      <c r="B12" s="19" t="s">
        <v>290</v>
      </c>
      <c r="C12" s="19" t="s">
        <v>295</v>
      </c>
      <c r="D12" s="26" t="n">
        <v>-1500</v>
      </c>
      <c r="E12" s="29"/>
      <c r="F12" s="29"/>
    </row>
    <row r="13" customFormat="false" ht="15" hidden="false" customHeight="false" outlineLevel="0" collapsed="false">
      <c r="A13" s="6" t="s">
        <v>81</v>
      </c>
      <c r="B13" s="6" t="s">
        <v>290</v>
      </c>
      <c r="C13" s="6" t="s">
        <v>295</v>
      </c>
      <c r="D13" s="25" t="n">
        <v>-500</v>
      </c>
    </row>
    <row r="14" customFormat="false" ht="15" hidden="false" customHeight="false" outlineLevel="0" collapsed="false">
      <c r="A14" s="19" t="s">
        <v>81</v>
      </c>
      <c r="B14" s="19" t="s">
        <v>290</v>
      </c>
      <c r="C14" s="19" t="s">
        <v>296</v>
      </c>
      <c r="D14" s="26" t="n">
        <v>-45000</v>
      </c>
      <c r="E14" s="29"/>
      <c r="F14" s="29"/>
    </row>
    <row r="15" customFormat="false" ht="15" hidden="false" customHeight="false" outlineLevel="0" collapsed="false">
      <c r="A15" s="6" t="s">
        <v>77</v>
      </c>
      <c r="B15" s="6" t="s">
        <v>286</v>
      </c>
      <c r="C15" s="6" t="s">
        <v>288</v>
      </c>
      <c r="D15" s="25" t="n">
        <v>35000</v>
      </c>
    </row>
    <row r="16" customFormat="false" ht="15" hidden="false" customHeight="false" outlineLevel="0" collapsed="false">
      <c r="A16" s="19" t="s">
        <v>77</v>
      </c>
      <c r="B16" s="19" t="s">
        <v>290</v>
      </c>
      <c r="C16" s="19" t="s">
        <v>297</v>
      </c>
      <c r="D16" s="26" t="n">
        <v>-20000</v>
      </c>
      <c r="E16" s="29"/>
      <c r="F16" s="29"/>
    </row>
    <row r="17" customFormat="false" ht="15" hidden="false" customHeight="false" outlineLevel="0" collapsed="false">
      <c r="A17" s="6" t="s">
        <v>73</v>
      </c>
      <c r="B17" s="6" t="s">
        <v>290</v>
      </c>
      <c r="C17" s="6" t="s">
        <v>298</v>
      </c>
      <c r="D17" s="25" t="n">
        <v>-1299.97</v>
      </c>
    </row>
    <row r="18" customFormat="false" ht="15" hidden="false" customHeight="false" outlineLevel="0" collapsed="false">
      <c r="A18" s="19" t="s">
        <v>72</v>
      </c>
      <c r="B18" s="19" t="s">
        <v>286</v>
      </c>
      <c r="C18" s="19" t="s">
        <v>288</v>
      </c>
      <c r="D18" s="26" t="n">
        <v>40000</v>
      </c>
      <c r="E18" s="29"/>
      <c r="F18" s="29"/>
    </row>
    <row r="19" customFormat="false" ht="15" hidden="false" customHeight="false" outlineLevel="0" collapsed="false">
      <c r="A19" s="6" t="s">
        <v>72</v>
      </c>
      <c r="B19" s="6" t="s">
        <v>299</v>
      </c>
      <c r="C19" s="6" t="s">
        <v>300</v>
      </c>
      <c r="E19" s="25" t="n">
        <v>-74340.4</v>
      </c>
    </row>
    <row r="20" customFormat="false" ht="15" hidden="false" customHeight="false" outlineLevel="0" collapsed="false">
      <c r="A20" s="19" t="s">
        <v>72</v>
      </c>
      <c r="B20" s="19" t="s">
        <v>301</v>
      </c>
      <c r="C20" s="19" t="s">
        <v>302</v>
      </c>
      <c r="D20" s="29"/>
      <c r="E20" s="29"/>
      <c r="F20" s="26" t="n">
        <v>-2601.91</v>
      </c>
    </row>
    <row r="21" customFormat="false" ht="15" hidden="false" customHeight="false" outlineLevel="0" collapsed="false">
      <c r="A21" s="6" t="s">
        <v>192</v>
      </c>
      <c r="B21" s="6" t="s">
        <v>286</v>
      </c>
      <c r="C21" s="6" t="s">
        <v>288</v>
      </c>
      <c r="D21" s="25" t="n">
        <v>40000</v>
      </c>
    </row>
    <row r="22" customFormat="false" ht="15" hidden="false" customHeight="false" outlineLevel="0" collapsed="false">
      <c r="A22" s="19" t="s">
        <v>70</v>
      </c>
      <c r="B22" s="19" t="s">
        <v>299</v>
      </c>
      <c r="C22" s="19" t="s">
        <v>300</v>
      </c>
      <c r="D22" s="29"/>
      <c r="E22" s="26" t="n">
        <v>-24939.84</v>
      </c>
      <c r="F22" s="29"/>
    </row>
    <row r="23" customFormat="false" ht="15" hidden="false" customHeight="false" outlineLevel="0" collapsed="false">
      <c r="A23" s="6" t="s">
        <v>70</v>
      </c>
      <c r="B23" s="6" t="s">
        <v>301</v>
      </c>
      <c r="C23" s="6" t="s">
        <v>302</v>
      </c>
      <c r="F23" s="25" t="n">
        <v>-872.89</v>
      </c>
    </row>
    <row r="24" customFormat="false" ht="15" hidden="false" customHeight="false" outlineLevel="0" collapsed="false">
      <c r="A24" s="19" t="s">
        <v>303</v>
      </c>
      <c r="B24" s="19" t="s">
        <v>286</v>
      </c>
      <c r="C24" s="19" t="s">
        <v>288</v>
      </c>
      <c r="D24" s="26" t="n">
        <v>40000</v>
      </c>
      <c r="E24" s="29"/>
      <c r="F24" s="29"/>
    </row>
    <row r="25" customFormat="false" ht="15" hidden="false" customHeight="false" outlineLevel="0" collapsed="false">
      <c r="A25" s="6" t="s">
        <v>303</v>
      </c>
      <c r="B25" s="6" t="s">
        <v>290</v>
      </c>
      <c r="C25" s="6" t="s">
        <v>304</v>
      </c>
      <c r="D25" s="25" t="n">
        <v>-50</v>
      </c>
    </row>
    <row r="26" customFormat="false" ht="15" hidden="false" customHeight="false" outlineLevel="0" collapsed="false">
      <c r="A26" s="19" t="s">
        <v>303</v>
      </c>
      <c r="B26" s="19" t="s">
        <v>290</v>
      </c>
      <c r="C26" s="19" t="s">
        <v>305</v>
      </c>
      <c r="D26" s="26" t="n">
        <v>-10</v>
      </c>
      <c r="E26" s="29"/>
      <c r="F26" s="29"/>
    </row>
    <row r="27" customFormat="false" ht="15" hidden="false" customHeight="false" outlineLevel="0" collapsed="false">
      <c r="A27" s="6" t="s">
        <v>303</v>
      </c>
      <c r="B27" s="6" t="s">
        <v>290</v>
      </c>
      <c r="C27" s="6" t="s">
        <v>291</v>
      </c>
      <c r="D27" s="25" t="n">
        <v>-470</v>
      </c>
    </row>
    <row r="28" customFormat="false" ht="15" hidden="false" customHeight="false" outlineLevel="0" collapsed="false">
      <c r="A28" s="19" t="s">
        <v>306</v>
      </c>
      <c r="B28" s="19" t="s">
        <v>290</v>
      </c>
      <c r="C28" s="19" t="s">
        <v>307</v>
      </c>
      <c r="D28" s="26" t="n">
        <v>-6800</v>
      </c>
      <c r="E28" s="29"/>
      <c r="F28" s="29"/>
    </row>
    <row r="29" customFormat="false" ht="15" hidden="false" customHeight="false" outlineLevel="0" collapsed="false">
      <c r="A29" s="6" t="s">
        <v>183</v>
      </c>
      <c r="B29" s="6" t="s">
        <v>290</v>
      </c>
      <c r="C29" s="6" t="s">
        <v>287</v>
      </c>
      <c r="D29" s="25" t="n">
        <v>-3000</v>
      </c>
    </row>
    <row r="30" customFormat="false" ht="15" hidden="false" customHeight="false" outlineLevel="0" collapsed="false">
      <c r="A30" s="19" t="s">
        <v>308</v>
      </c>
      <c r="B30" s="19" t="s">
        <v>290</v>
      </c>
      <c r="C30" s="19" t="s">
        <v>291</v>
      </c>
      <c r="D30" s="26" t="n">
        <v>-350</v>
      </c>
      <c r="E30" s="29"/>
      <c r="F30" s="29"/>
    </row>
    <row r="31" customFormat="false" ht="15" hidden="false" customHeight="false" outlineLevel="0" collapsed="false">
      <c r="A31" s="6" t="s">
        <v>172</v>
      </c>
      <c r="B31" s="6" t="s">
        <v>290</v>
      </c>
      <c r="C31" s="6" t="s">
        <v>309</v>
      </c>
      <c r="D31" s="25" t="n">
        <v>-500</v>
      </c>
    </row>
    <row r="32" customFormat="false" ht="15" hidden="false" customHeight="false" outlineLevel="0" collapsed="false">
      <c r="A32" s="19" t="s">
        <v>310</v>
      </c>
      <c r="B32" s="19" t="s">
        <v>290</v>
      </c>
      <c r="C32" s="19" t="s">
        <v>287</v>
      </c>
      <c r="D32" s="26" t="n">
        <v>-6000</v>
      </c>
      <c r="E32" s="29"/>
      <c r="F32" s="29"/>
    </row>
    <row r="33" customFormat="false" ht="15" hidden="false" customHeight="false" outlineLevel="0" collapsed="false">
      <c r="A33" s="6" t="s">
        <v>310</v>
      </c>
      <c r="B33" s="6" t="s">
        <v>290</v>
      </c>
      <c r="C33" s="6" t="s">
        <v>311</v>
      </c>
      <c r="D33" s="25" t="n">
        <v>-4582.41</v>
      </c>
    </row>
    <row r="34" customFormat="false" ht="15" hidden="false" customHeight="false" outlineLevel="0" collapsed="false">
      <c r="A34" s="19" t="s">
        <v>64</v>
      </c>
      <c r="B34" s="19" t="s">
        <v>286</v>
      </c>
      <c r="C34" s="19" t="s">
        <v>288</v>
      </c>
      <c r="D34" s="26" t="n">
        <v>40000</v>
      </c>
      <c r="E34" s="29"/>
      <c r="F34" s="29"/>
    </row>
    <row r="36" customFormat="false" ht="15" hidden="false" customHeight="false" outlineLevel="0" collapsed="false">
      <c r="A36" s="11" t="s">
        <v>201</v>
      </c>
    </row>
    <row r="37" customFormat="false" ht="15" hidden="false" customHeight="false" outlineLevel="0" collapsed="false">
      <c r="A37" s="28" t="s">
        <v>286</v>
      </c>
      <c r="D37" s="24" t="n">
        <f aca="false">SUMIFS(D5:D34,D5:D34,"&gt;0")</f>
        <v>237010</v>
      </c>
    </row>
    <row r="38" customFormat="false" ht="15" hidden="false" customHeight="false" outlineLevel="0" collapsed="false">
      <c r="A38" s="28" t="s">
        <v>290</v>
      </c>
      <c r="D38" s="24" t="n">
        <f aca="false">SUMIFS(D5:D34,D5:D34,"&lt;0")</f>
        <v>-92162.38</v>
      </c>
    </row>
    <row r="39" customFormat="false" ht="15" hidden="false" customHeight="false" outlineLevel="0" collapsed="false">
      <c r="A39" s="30" t="s">
        <v>312</v>
      </c>
      <c r="D39" s="31" t="n">
        <f aca="false">SUM(D5:D34)</f>
        <v>144847.62</v>
      </c>
    </row>
    <row r="40" customFormat="false" ht="15" hidden="false" customHeight="false" outlineLevel="0" collapsed="false">
      <c r="A40" s="28" t="s">
        <v>313</v>
      </c>
      <c r="D40" s="24" t="n">
        <f aca="false">SUM(E5:E34)</f>
        <v>-99280.24</v>
      </c>
    </row>
    <row r="41" customFormat="false" ht="15" hidden="false" customHeight="false" outlineLevel="0" collapsed="false">
      <c r="A41" s="28" t="s">
        <v>314</v>
      </c>
      <c r="D41" s="24" t="n">
        <f aca="false">SUM(F5:F34)</f>
        <v>-3474.8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0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35"/>
  </cols>
  <sheetData>
    <row r="1" customFormat="false" ht="15" hidden="false" customHeight="false" outlineLevel="0" collapsed="false">
      <c r="A1" s="1" t="s">
        <v>315</v>
      </c>
    </row>
    <row r="2" customFormat="false" ht="15" hidden="false" customHeight="false" outlineLevel="0" collapsed="false">
      <c r="A2" s="2" t="s">
        <v>316</v>
      </c>
    </row>
    <row r="4" customFormat="false" ht="15" hidden="false" customHeight="false" outlineLevel="0" collapsed="false">
      <c r="A4" s="3" t="s">
        <v>317</v>
      </c>
      <c r="B4" s="3" t="s">
        <v>7</v>
      </c>
      <c r="C4" s="3" t="s">
        <v>318</v>
      </c>
      <c r="D4" s="3" t="s">
        <v>319</v>
      </c>
      <c r="E4" s="3" t="s">
        <v>320</v>
      </c>
      <c r="F4" s="3" t="s">
        <v>321</v>
      </c>
      <c r="G4" s="3" t="s">
        <v>322</v>
      </c>
      <c r="H4" s="3" t="s">
        <v>323</v>
      </c>
      <c r="I4" s="3" t="s">
        <v>324</v>
      </c>
      <c r="J4" s="3" t="s">
        <v>8</v>
      </c>
    </row>
    <row r="5" customFormat="false" ht="15" hidden="false" customHeight="false" outlineLevel="0" collapsed="false">
      <c r="A5" s="4" t="s">
        <v>480</v>
      </c>
      <c r="B5" s="27" t="s">
        <v>326</v>
      </c>
      <c r="C5" s="6" t="s">
        <v>327</v>
      </c>
      <c r="D5" s="32" t="n">
        <v>5</v>
      </c>
      <c r="E5" s="6" t="s">
        <v>253</v>
      </c>
      <c r="F5" s="33" t="n">
        <f aca="true">IFERROR(TODAY()-DATEVALUE(E5),"")</f>
        <v>0</v>
      </c>
      <c r="G5" s="4" t="s">
        <v>485</v>
      </c>
      <c r="H5" s="4" t="s">
        <v>330</v>
      </c>
      <c r="I5" s="33" t="n">
        <f aca="false">IF(B5="broken",40,IF(B5="dirty",20+D5,0))+IF(C5&lt;&gt;"main",10,0)+IF(F5&gt;30,5,0)</f>
        <v>25</v>
      </c>
      <c r="J5" s="7" t="s">
        <v>486</v>
      </c>
    </row>
    <row r="6" customFormat="false" ht="15" hidden="false" customHeight="false" outlineLevel="0" collapsed="false">
      <c r="A6" s="4" t="s">
        <v>332</v>
      </c>
      <c r="B6" s="27" t="s">
        <v>479</v>
      </c>
      <c r="C6" s="6" t="s">
        <v>484</v>
      </c>
      <c r="D6" s="32" t="n">
        <v>0</v>
      </c>
      <c r="E6" s="6" t="s">
        <v>483</v>
      </c>
      <c r="F6" s="33" t="n">
        <f aca="true">IFERROR(TODAY()-DATEVALUE(E6),"")</f>
        <v>7</v>
      </c>
      <c r="G6" s="4" t="s">
        <v>333</v>
      </c>
      <c r="H6" s="4" t="s">
        <v>334</v>
      </c>
      <c r="I6" s="33" t="n">
        <f aca="false">IF(B6="broken",40,IF(B6="dirty",20+D6,0))+IF(C6&lt;&gt;"main",10,0)+IF(F6&gt;30,5,0)</f>
        <v>10</v>
      </c>
      <c r="J6" s="7" t="s">
        <v>487</v>
      </c>
    </row>
    <row r="8" customFormat="false" ht="15" hidden="false" customHeight="false" outlineLevel="0" collapsed="false">
      <c r="A8" s="11" t="s">
        <v>336</v>
      </c>
    </row>
    <row r="9" customFormat="false" ht="15" hidden="false" customHeight="false" outlineLevel="0" collapsed="false">
      <c r="A9" s="28" t="s">
        <v>337</v>
      </c>
      <c r="B9" s="4" t="n">
        <f aca="false">COUNTA(A5:A6)</f>
        <v>2</v>
      </c>
    </row>
    <row r="10" customFormat="false" ht="15" hidden="false" customHeight="false" outlineLevel="0" collapsed="false">
      <c r="A10" s="28" t="s">
        <v>338</v>
      </c>
      <c r="B10" s="4" t="n">
        <f aca="false">COUNTIF(B5:B6,"clean")</f>
        <v>1</v>
      </c>
    </row>
    <row r="11" customFormat="false" ht="15" hidden="false" customHeight="false" outlineLevel="0" collapsed="false">
      <c r="A11" s="28" t="s">
        <v>339</v>
      </c>
      <c r="B11" s="4" t="n">
        <f aca="false">COUNTIF(B5:B6,"dirty")</f>
        <v>1</v>
      </c>
    </row>
    <row r="12" customFormat="false" ht="15" hidden="false" customHeight="false" outlineLevel="0" collapsed="false">
      <c r="A12" s="28" t="s">
        <v>340</v>
      </c>
      <c r="B12" s="4" t="n">
        <f aca="false">COUNTIF(B5:B6,"broken")</f>
        <v>0</v>
      </c>
    </row>
    <row r="14" customFormat="false" ht="15" hidden="false" customHeight="false" outlineLevel="0" collapsed="false">
      <c r="A14" s="7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32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3" t="s">
        <v>344</v>
      </c>
      <c r="B4" s="3" t="s">
        <v>7</v>
      </c>
      <c r="C4" s="3" t="s">
        <v>345</v>
      </c>
      <c r="D4" s="3" t="s">
        <v>346</v>
      </c>
      <c r="E4" s="3" t="s">
        <v>347</v>
      </c>
      <c r="F4" s="3" t="s">
        <v>348</v>
      </c>
      <c r="G4" s="3" t="s">
        <v>349</v>
      </c>
    </row>
    <row r="5" customFormat="false" ht="15" hidden="false" customHeight="false" outlineLevel="0" collapsed="false">
      <c r="A5" s="4" t="s">
        <v>480</v>
      </c>
      <c r="B5" s="27" t="s">
        <v>229</v>
      </c>
      <c r="C5" s="27" t="s">
        <v>481</v>
      </c>
      <c r="D5" s="27" t="s">
        <v>351</v>
      </c>
      <c r="E5" s="27" t="s">
        <v>482</v>
      </c>
      <c r="F5" s="6" t="s">
        <v>253</v>
      </c>
      <c r="G5" s="27" t="s">
        <v>218</v>
      </c>
    </row>
    <row r="6" customFormat="false" ht="15" hidden="false" customHeight="false" outlineLevel="0" collapsed="false">
      <c r="A6" s="20" t="s">
        <v>332</v>
      </c>
      <c r="B6" s="27" t="s">
        <v>229</v>
      </c>
      <c r="C6" s="27" t="s">
        <v>353</v>
      </c>
      <c r="D6" s="27" t="s">
        <v>351</v>
      </c>
      <c r="E6" s="27" t="s">
        <v>354</v>
      </c>
      <c r="F6" s="19" t="s">
        <v>483</v>
      </c>
      <c r="G6" s="27" t="s">
        <v>218</v>
      </c>
    </row>
    <row r="7" customFormat="false" ht="15" hidden="false" customHeight="false" outlineLevel="0" collapsed="false">
      <c r="A7" s="4" t="s">
        <v>355</v>
      </c>
      <c r="B7" s="27" t="s">
        <v>356</v>
      </c>
      <c r="C7" s="27" t="s">
        <v>357</v>
      </c>
      <c r="D7" s="27" t="s">
        <v>358</v>
      </c>
      <c r="E7" s="27" t="s">
        <v>359</v>
      </c>
      <c r="F7" s="6"/>
      <c r="G7" s="27" t="s">
        <v>227</v>
      </c>
    </row>
    <row r="8" customFormat="false" ht="15" hidden="false" customHeight="false" outlineLevel="0" collapsed="false">
      <c r="A8" s="20" t="s">
        <v>360</v>
      </c>
      <c r="B8" s="27" t="s">
        <v>356</v>
      </c>
      <c r="C8" s="27" t="s">
        <v>361</v>
      </c>
      <c r="D8" s="27" t="s">
        <v>362</v>
      </c>
      <c r="E8" s="27" t="s">
        <v>363</v>
      </c>
      <c r="F8" s="19"/>
      <c r="G8" s="27" t="s">
        <v>227</v>
      </c>
    </row>
    <row r="9" customFormat="false" ht="15" hidden="false" customHeight="false" outlineLevel="0" collapsed="false">
      <c r="A9" s="4" t="s">
        <v>364</v>
      </c>
      <c r="B9" s="27" t="s">
        <v>356</v>
      </c>
      <c r="C9" s="27" t="s">
        <v>365</v>
      </c>
      <c r="D9" s="27" t="s">
        <v>366</v>
      </c>
      <c r="E9" s="27" t="s">
        <v>367</v>
      </c>
      <c r="F9" s="6"/>
      <c r="G9" s="27" t="s">
        <v>248</v>
      </c>
    </row>
    <row r="10" customFormat="false" ht="15" hidden="false" customHeight="false" outlineLevel="0" collapsed="false">
      <c r="A10" s="20" t="s">
        <v>368</v>
      </c>
      <c r="B10" s="27" t="s">
        <v>356</v>
      </c>
      <c r="C10" s="27" t="s">
        <v>369</v>
      </c>
      <c r="D10" s="27" t="s">
        <v>370</v>
      </c>
      <c r="E10" s="27" t="s">
        <v>371</v>
      </c>
      <c r="F10" s="19"/>
      <c r="G10" s="27" t="s">
        <v>248</v>
      </c>
    </row>
    <row r="12" customFormat="false" ht="15" hidden="false" customHeight="false" outlineLevel="0" collapsed="false">
      <c r="A12" s="11" t="s">
        <v>372</v>
      </c>
    </row>
    <row r="13" customFormat="false" ht="15" hidden="false" customHeight="false" outlineLevel="0" collapsed="false">
      <c r="A13" s="4" t="s">
        <v>229</v>
      </c>
      <c r="B13" s="4" t="n">
        <f aca="false">COUNTIF(B5:B10,"Active")</f>
        <v>2</v>
      </c>
    </row>
    <row r="14" customFormat="false" ht="15" hidden="false" customHeight="false" outlineLevel="0" collapsed="false">
      <c r="A14" s="4" t="s">
        <v>356</v>
      </c>
      <c r="B14" s="4" t="n">
        <f aca="false">COUNTIF(B5:B10,"Paused")</f>
        <v>4</v>
      </c>
    </row>
    <row r="15" customFormat="false" ht="15" hidden="false" customHeight="false" outlineLevel="0" collapsed="false">
      <c r="A15" s="4" t="s">
        <v>373</v>
      </c>
      <c r="B15" s="4" t="n">
        <f aca="false">COUNTIF(B5:B10,"Blocked")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374</v>
      </c>
    </row>
    <row r="2" customFormat="false" ht="15" hidden="false" customHeight="false" outlineLevel="0" collapsed="false">
      <c r="A2" s="2" t="s">
        <v>375</v>
      </c>
    </row>
    <row r="4" customFormat="false" ht="15" hidden="false" customHeight="false" outlineLevel="0" collapsed="false">
      <c r="A4" s="3" t="s">
        <v>376</v>
      </c>
      <c r="B4" s="3" t="s">
        <v>377</v>
      </c>
      <c r="C4" s="3" t="s">
        <v>378</v>
      </c>
      <c r="D4" s="3" t="s">
        <v>8</v>
      </c>
    </row>
    <row r="5" customFormat="false" ht="15" hidden="false" customHeight="false" outlineLevel="0" collapsed="false">
      <c r="A5" s="4" t="s">
        <v>379</v>
      </c>
      <c r="B5" s="5" t="n">
        <v>20000</v>
      </c>
      <c r="C5" s="4" t="s">
        <v>83</v>
      </c>
      <c r="D5" s="7" t="s">
        <v>380</v>
      </c>
    </row>
    <row r="6" customFormat="false" ht="15" hidden="false" customHeight="false" outlineLevel="0" collapsed="false">
      <c r="A6" s="20" t="s">
        <v>381</v>
      </c>
      <c r="B6" s="5" t="n">
        <v>8000</v>
      </c>
      <c r="C6" s="20" t="s">
        <v>83</v>
      </c>
      <c r="D6" s="23" t="s">
        <v>382</v>
      </c>
    </row>
    <row r="7" customFormat="false" ht="15" hidden="false" customHeight="false" outlineLevel="0" collapsed="false">
      <c r="A7" s="4" t="s">
        <v>383</v>
      </c>
      <c r="B7" s="5" t="n">
        <v>500</v>
      </c>
      <c r="C7" s="4" t="s">
        <v>384</v>
      </c>
      <c r="D7" s="7" t="s">
        <v>385</v>
      </c>
    </row>
    <row r="8" customFormat="false" ht="15" hidden="false" customHeight="false" outlineLevel="0" collapsed="false">
      <c r="A8" s="20" t="s">
        <v>386</v>
      </c>
      <c r="B8" s="34" t="n">
        <v>30</v>
      </c>
      <c r="C8" s="20" t="s">
        <v>387</v>
      </c>
      <c r="D8" s="23" t="s">
        <v>388</v>
      </c>
    </row>
    <row r="9" customFormat="false" ht="15" hidden="false" customHeight="false" outlineLevel="0" collapsed="false">
      <c r="A9" s="4" t="s">
        <v>389</v>
      </c>
      <c r="B9" s="5" t="n">
        <v>4.9</v>
      </c>
      <c r="C9" s="4" t="s">
        <v>390</v>
      </c>
      <c r="D9" s="7" t="s">
        <v>391</v>
      </c>
    </row>
    <row r="10" customFormat="false" ht="15" hidden="false" customHeight="false" outlineLevel="0" collapsed="false">
      <c r="A10" s="20" t="s">
        <v>392</v>
      </c>
      <c r="B10" s="5" t="n">
        <v>5.4</v>
      </c>
      <c r="C10" s="20" t="s">
        <v>390</v>
      </c>
      <c r="D10" s="23" t="s">
        <v>393</v>
      </c>
    </row>
    <row r="11" customFormat="false" ht="15" hidden="false" customHeight="false" outlineLevel="0" collapsed="false">
      <c r="A11" s="4" t="s">
        <v>394</v>
      </c>
      <c r="B11" s="5" t="n">
        <v>365.8</v>
      </c>
      <c r="C11" s="4" t="s">
        <v>384</v>
      </c>
      <c r="D11" s="7" t="s">
        <v>395</v>
      </c>
    </row>
    <row r="12" customFormat="false" ht="15" hidden="false" customHeight="false" outlineLevel="0" collapsed="false">
      <c r="A12" s="20" t="s">
        <v>396</v>
      </c>
      <c r="B12" s="34" t="n">
        <v>7</v>
      </c>
      <c r="C12" s="20" t="s">
        <v>387</v>
      </c>
      <c r="D12" s="23" t="s">
        <v>397</v>
      </c>
    </row>
    <row r="13" customFormat="false" ht="15" hidden="false" customHeight="false" outlineLevel="0" collapsed="false">
      <c r="A13" s="4" t="s">
        <v>398</v>
      </c>
      <c r="B13" s="34" t="n">
        <v>14</v>
      </c>
      <c r="C13" s="4" t="s">
        <v>387</v>
      </c>
      <c r="D13" s="7" t="s">
        <v>399</v>
      </c>
    </row>
    <row r="14" customFormat="false" ht="15" hidden="false" customHeight="false" outlineLevel="0" collapsed="false">
      <c r="A14" s="20" t="s">
        <v>400</v>
      </c>
      <c r="B14" s="27" t="s">
        <v>83</v>
      </c>
      <c r="C14" s="20"/>
      <c r="D14" s="23" t="s">
        <v>401</v>
      </c>
    </row>
    <row r="15" customFormat="false" ht="15" hidden="false" customHeight="false" outlineLevel="0" collapsed="false">
      <c r="A15" s="4" t="s">
        <v>402</v>
      </c>
      <c r="B15" s="27" t="s">
        <v>403</v>
      </c>
      <c r="C15" s="4"/>
      <c r="D15" s="7" t="s">
        <v>28</v>
      </c>
    </row>
    <row r="16" customFormat="false" ht="15" hidden="false" customHeight="false" outlineLevel="0" collapsed="false">
      <c r="A16" s="20" t="s">
        <v>404</v>
      </c>
      <c r="B16" s="27" t="s">
        <v>287</v>
      </c>
      <c r="C16" s="20"/>
      <c r="D16" s="23" t="s">
        <v>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15" hidden="false" customHeight="false" outlineLevel="0" collapsed="false">
      <c r="A1" s="1" t="s">
        <v>406</v>
      </c>
    </row>
    <row r="2" customFormat="false" ht="15" hidden="false" customHeight="false" outlineLevel="0" collapsed="false">
      <c r="A2" s="2" t="s">
        <v>407</v>
      </c>
    </row>
    <row r="4" customFormat="false" ht="15" hidden="false" customHeight="false" outlineLevel="0" collapsed="false">
      <c r="A4" s="3" t="s">
        <v>408</v>
      </c>
      <c r="B4" s="3" t="s">
        <v>409</v>
      </c>
      <c r="C4" s="3" t="s">
        <v>410</v>
      </c>
      <c r="D4" s="3" t="s">
        <v>286</v>
      </c>
      <c r="E4" s="3" t="s">
        <v>290</v>
      </c>
      <c r="F4" s="3" t="s">
        <v>411</v>
      </c>
      <c r="G4" s="3" t="s">
        <v>412</v>
      </c>
      <c r="H4" s="3" t="s">
        <v>301</v>
      </c>
      <c r="I4" s="3" t="s">
        <v>413</v>
      </c>
    </row>
    <row r="5" customFormat="false" ht="15" hidden="false" customHeight="false" outlineLevel="0" collapsed="false">
      <c r="A5" s="4" t="s">
        <v>414</v>
      </c>
      <c r="B5" s="5" t="n">
        <v>3745.4</v>
      </c>
      <c r="C5" s="35" t="n">
        <v>18</v>
      </c>
      <c r="D5" s="5" t="n">
        <v>0</v>
      </c>
      <c r="E5" s="5" t="n">
        <v>0</v>
      </c>
      <c r="F5" s="5" t="n">
        <v>31949.9</v>
      </c>
      <c r="G5" s="5" t="n">
        <v>1071.22</v>
      </c>
      <c r="H5" s="5" t="n">
        <v>0</v>
      </c>
      <c r="I5" s="5" t="n">
        <v>-34624.08</v>
      </c>
    </row>
    <row r="6" customFormat="false" ht="15" hidden="false" customHeight="false" outlineLevel="0" collapsed="false">
      <c r="A6" s="20" t="s">
        <v>115</v>
      </c>
      <c r="B6" s="5" t="n">
        <v>9515.9</v>
      </c>
      <c r="C6" s="35" t="n">
        <v>21</v>
      </c>
      <c r="D6" s="5" t="n">
        <v>40000</v>
      </c>
      <c r="E6" s="5" t="n">
        <v>0</v>
      </c>
      <c r="F6" s="5" t="n">
        <v>31658.75</v>
      </c>
      <c r="G6" s="5" t="n">
        <v>0</v>
      </c>
      <c r="H6" s="5" t="n">
        <v>0</v>
      </c>
      <c r="I6" s="5" t="n">
        <v>-1174.65</v>
      </c>
    </row>
    <row r="7" customFormat="false" ht="15" hidden="false" customHeight="false" outlineLevel="0" collapsed="false">
      <c r="A7" s="4" t="s">
        <v>151</v>
      </c>
      <c r="B7" s="5" t="n">
        <v>14231.47</v>
      </c>
      <c r="C7" s="35" t="n">
        <v>32</v>
      </c>
      <c r="D7" s="5" t="n">
        <v>0</v>
      </c>
      <c r="E7" s="5" t="n">
        <v>11432.41</v>
      </c>
      <c r="F7" s="5" t="n">
        <v>47864.68</v>
      </c>
      <c r="G7" s="5" t="n">
        <v>0</v>
      </c>
      <c r="H7" s="5" t="n">
        <v>0</v>
      </c>
      <c r="I7" s="5" t="n">
        <v>-73528.56</v>
      </c>
    </row>
    <row r="8" customFormat="false" ht="15" hidden="false" customHeight="false" outlineLevel="0" collapsed="false">
      <c r="A8" s="20" t="s">
        <v>162</v>
      </c>
      <c r="B8" s="5" t="n">
        <v>5330.44</v>
      </c>
      <c r="C8" s="35" t="n">
        <v>33</v>
      </c>
      <c r="D8" s="5" t="n">
        <v>40000</v>
      </c>
      <c r="E8" s="5" t="n">
        <v>10330</v>
      </c>
      <c r="F8" s="5" t="n">
        <v>15878.08</v>
      </c>
      <c r="G8" s="5" t="n">
        <v>503.62</v>
      </c>
      <c r="H8" s="5" t="n">
        <v>0</v>
      </c>
      <c r="I8" s="5" t="n">
        <v>8965.1</v>
      </c>
    </row>
    <row r="9" customFormat="false" ht="15" hidden="false" customHeight="false" outlineLevel="0" collapsed="false">
      <c r="A9" s="4" t="s">
        <v>179</v>
      </c>
      <c r="B9" s="5" t="n">
        <v>3308.38</v>
      </c>
      <c r="C9" s="35" t="n">
        <v>29</v>
      </c>
      <c r="D9" s="5" t="n">
        <v>115000</v>
      </c>
      <c r="E9" s="5" t="n">
        <v>69919.97</v>
      </c>
      <c r="F9" s="5" t="n">
        <v>195934.86</v>
      </c>
      <c r="G9" s="5" t="n">
        <v>202734.87</v>
      </c>
      <c r="H9" s="5" t="n">
        <v>3474.8</v>
      </c>
      <c r="I9" s="5" t="n">
        <v>45046.86</v>
      </c>
    </row>
    <row r="10" customFormat="false" ht="15" hidden="false" customHeight="false" outlineLevel="0" collapsed="false">
      <c r="A10" s="20" t="s">
        <v>191</v>
      </c>
      <c r="B10" s="5" t="n">
        <v>1114.17</v>
      </c>
      <c r="C10" s="35" t="n">
        <v>13</v>
      </c>
      <c r="D10" s="5" t="n">
        <v>42010</v>
      </c>
      <c r="E10" s="5" t="n">
        <v>480</v>
      </c>
      <c r="F10" s="5" t="n">
        <v>329502.34</v>
      </c>
      <c r="G10" s="5" t="n">
        <v>268019.69</v>
      </c>
      <c r="H10" s="5" t="n">
        <v>0</v>
      </c>
      <c r="I10" s="5" t="n">
        <v>-20586.82</v>
      </c>
    </row>
    <row r="11" customFormat="false" ht="15" hidden="false" customHeight="false" outlineLevel="0" collapsed="false">
      <c r="A11" s="8" t="s">
        <v>415</v>
      </c>
      <c r="B11" s="10" t="n">
        <f aca="false">SUM(B5:B10)</f>
        <v>37245.76</v>
      </c>
      <c r="C11" s="36" t="n">
        <f aca="false">SUM(C5:C10)</f>
        <v>146</v>
      </c>
      <c r="D11" s="10" t="n">
        <f aca="false">SUM(D5:D10)</f>
        <v>237010</v>
      </c>
      <c r="E11" s="10" t="n">
        <f aca="false">SUM(E5:E10)</f>
        <v>92162.38</v>
      </c>
      <c r="F11" s="10" t="n">
        <f aca="false">SUM(F5:F10)</f>
        <v>652788.61</v>
      </c>
      <c r="G11" s="10" t="n">
        <f aca="false">SUM(G5:G10)</f>
        <v>472329.4</v>
      </c>
      <c r="H11" s="10" t="n">
        <f aca="false">SUM(H5:H10)</f>
        <v>3474.8</v>
      </c>
      <c r="I11" s="10" t="n">
        <f aca="false">SUM(I5:I10)</f>
        <v>-75902.15</v>
      </c>
    </row>
    <row r="12" customFormat="false" ht="15" hidden="false" customHeight="false" outlineLevel="0" collapsed="false">
      <c r="A12" s="28" t="s">
        <v>416</v>
      </c>
      <c r="B12" s="24" t="n">
        <f aca="false">B11/6</f>
        <v>6207.62666666667</v>
      </c>
      <c r="D12" s="24" t="n">
        <f aca="false">D11/6</f>
        <v>39501.6666666667</v>
      </c>
      <c r="E12" s="24" t="n">
        <f aca="false">E11/6</f>
        <v>15360.3966666667</v>
      </c>
      <c r="F12" s="24" t="n">
        <f aca="false">F11/6</f>
        <v>108798.101666667</v>
      </c>
      <c r="G12" s="24" t="n">
        <f aca="false">G11/6</f>
        <v>78721.5666666667</v>
      </c>
      <c r="I12" s="24" t="n">
        <f aca="false">I11/6</f>
        <v>-12650.3583333333</v>
      </c>
    </row>
    <row r="15" customFormat="false" ht="15" hidden="false" customHeight="false" outlineLevel="0" collapsed="false">
      <c r="A15" s="11" t="s">
        <v>417</v>
      </c>
    </row>
    <row r="16" customFormat="false" ht="15" hidden="false" customHeight="false" outlineLevel="0" collapsed="false">
      <c r="A16" s="12" t="s">
        <v>408</v>
      </c>
      <c r="B16" s="12" t="s">
        <v>418</v>
      </c>
      <c r="C16" s="12" t="s">
        <v>419</v>
      </c>
      <c r="D16" s="12" t="s">
        <v>420</v>
      </c>
      <c r="E16" s="12" t="s">
        <v>50</v>
      </c>
    </row>
    <row r="17" customFormat="false" ht="15" hidden="false" customHeight="false" outlineLevel="0" collapsed="false">
      <c r="A17" s="4" t="s">
        <v>191</v>
      </c>
      <c r="B17" s="24" t="n">
        <v>1114.17</v>
      </c>
      <c r="C17" s="24" t="n">
        <v>3308.38</v>
      </c>
      <c r="D17" s="37" t="n">
        <f aca="false">IFERROR((B17-C17)/C17,0)</f>
        <v>-0.663227924240867</v>
      </c>
      <c r="E17" s="4" t="str">
        <f aca="false">IF(D17&lt;0,"▼ Lower","▲ Higher")</f>
        <v>▼ Lower</v>
      </c>
    </row>
    <row r="18" customFormat="false" ht="15" hidden="false" customHeight="false" outlineLevel="0" collapsed="false">
      <c r="A18" s="4" t="s">
        <v>179</v>
      </c>
      <c r="B18" s="24" t="n">
        <v>3308.38</v>
      </c>
      <c r="C18" s="24" t="n">
        <v>5330.44</v>
      </c>
      <c r="D18" s="37" t="n">
        <f aca="false">IFERROR((B18-C18)/C18,0)</f>
        <v>-0.379342043058359</v>
      </c>
      <c r="E18" s="4" t="str">
        <f aca="false">IF(D18&lt;0,"▼ Lower","▲ Higher")</f>
        <v>▼ Lower</v>
      </c>
    </row>
    <row r="19" customFormat="false" ht="15" hidden="false" customHeight="false" outlineLevel="0" collapsed="false">
      <c r="A19" s="4" t="s">
        <v>162</v>
      </c>
      <c r="B19" s="24" t="n">
        <v>5330.44</v>
      </c>
      <c r="C19" s="24" t="n">
        <v>14231.47</v>
      </c>
      <c r="D19" s="37" t="n">
        <f aca="false">IFERROR((B19-C19)/C19,0)</f>
        <v>-0.625446984745778</v>
      </c>
      <c r="E19" s="4" t="str">
        <f aca="false">IF(D19&lt;0,"▼ Lower","▲ Higher")</f>
        <v>▼ Lower</v>
      </c>
    </row>
    <row r="20" customFormat="false" ht="15" hidden="false" customHeight="false" outlineLevel="0" collapsed="false">
      <c r="A20" s="4" t="s">
        <v>151</v>
      </c>
      <c r="B20" s="24" t="n">
        <v>14231.47</v>
      </c>
      <c r="C20" s="24" t="n">
        <v>9515.9</v>
      </c>
      <c r="D20" s="37" t="n">
        <f aca="false">IFERROR((B20-C20)/C20,0)</f>
        <v>0.495546401286268</v>
      </c>
      <c r="E20" s="4" t="str">
        <f aca="false">IF(D20&lt;0,"▼ Lower","▲ Higher")</f>
        <v>▲ Higher</v>
      </c>
    </row>
    <row r="21" customFormat="false" ht="15" hidden="false" customHeight="false" outlineLevel="0" collapsed="false">
      <c r="A21" s="4" t="s">
        <v>115</v>
      </c>
      <c r="B21" s="24" t="n">
        <v>9515.9</v>
      </c>
      <c r="C21" s="24" t="n">
        <v>3745.4</v>
      </c>
      <c r="D21" s="37" t="n">
        <f aca="false">IFERROR((B21-C21)/C21,0)</f>
        <v>1.5406899129599</v>
      </c>
      <c r="E21" s="4" t="str">
        <f aca="false">IF(D21&lt;0,"▼ Lower","▲ Higher")</f>
        <v>▲ Higher</v>
      </c>
    </row>
    <row r="22" customFormat="false" ht="15" hidden="false" customHeight="false" outlineLevel="0" collapsed="false">
      <c r="A22" s="4" t="s">
        <v>414</v>
      </c>
      <c r="B22" s="24" t="n">
        <v>3745.4</v>
      </c>
      <c r="C22" s="24" t="n">
        <v>0</v>
      </c>
      <c r="D22" s="37" t="n">
        <f aca="false">IFERROR((B22-C22)/C22,0)</f>
        <v>0</v>
      </c>
      <c r="E22" s="4" t="str">
        <f aca="false">IF(D22&lt;0,"▼ Lower","▲ Higher")</f>
        <v>▲ Higher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421</v>
      </c>
    </row>
    <row r="2" customFormat="false" ht="15" hidden="false" customHeight="false" outlineLevel="0" collapsed="false">
      <c r="A2" s="2" t="s">
        <v>422</v>
      </c>
    </row>
    <row r="4" customFormat="false" ht="15" hidden="false" customHeight="false" outlineLevel="0" collapsed="false">
      <c r="A4" s="3" t="s">
        <v>112</v>
      </c>
      <c r="B4" s="3" t="s">
        <v>423</v>
      </c>
      <c r="C4" s="3" t="s">
        <v>424</v>
      </c>
      <c r="D4" s="3" t="s">
        <v>425</v>
      </c>
      <c r="E4" s="3" t="s">
        <v>410</v>
      </c>
      <c r="F4" s="3" t="s">
        <v>426</v>
      </c>
    </row>
    <row r="5" customFormat="false" ht="15" hidden="false" customHeight="false" outlineLevel="0" collapsed="false">
      <c r="A5" s="4" t="s">
        <v>168</v>
      </c>
      <c r="B5" s="17" t="n">
        <v>9036.83</v>
      </c>
      <c r="C5" s="37" t="n">
        <v>0.2426</v>
      </c>
      <c r="D5" s="24" t="n">
        <v>1506.14</v>
      </c>
      <c r="E5" s="4" t="n">
        <v>1</v>
      </c>
      <c r="F5" s="4" t="s">
        <v>427</v>
      </c>
    </row>
    <row r="6" customFormat="false" ht="15" hidden="false" customHeight="false" outlineLevel="0" collapsed="false">
      <c r="A6" s="20" t="s">
        <v>153</v>
      </c>
      <c r="B6" s="21" t="n">
        <v>8744.68</v>
      </c>
      <c r="C6" s="38" t="n">
        <v>0.2348</v>
      </c>
      <c r="D6" s="39" t="n">
        <v>1457.45</v>
      </c>
      <c r="E6" s="20" t="n">
        <v>9</v>
      </c>
      <c r="F6" s="20" t="s">
        <v>427</v>
      </c>
    </row>
    <row r="7" customFormat="false" ht="15" hidden="false" customHeight="false" outlineLevel="0" collapsed="false">
      <c r="A7" s="4" t="s">
        <v>121</v>
      </c>
      <c r="B7" s="17" t="n">
        <v>6624.36</v>
      </c>
      <c r="C7" s="37" t="n">
        <v>0.1779</v>
      </c>
      <c r="D7" s="24" t="n">
        <v>1104.06</v>
      </c>
      <c r="E7" s="4" t="n">
        <v>37</v>
      </c>
      <c r="F7" s="4" t="s">
        <v>428</v>
      </c>
    </row>
    <row r="8" customFormat="false" ht="15" hidden="false" customHeight="false" outlineLevel="0" collapsed="false">
      <c r="A8" s="20" t="s">
        <v>134</v>
      </c>
      <c r="B8" s="21" t="n">
        <v>6455.1</v>
      </c>
      <c r="C8" s="38" t="n">
        <v>0.1733</v>
      </c>
      <c r="D8" s="39" t="n">
        <v>1075.85</v>
      </c>
      <c r="E8" s="20" t="n">
        <v>39</v>
      </c>
      <c r="F8" s="20" t="s">
        <v>428</v>
      </c>
    </row>
    <row r="9" customFormat="false" ht="15" hidden="false" customHeight="false" outlineLevel="0" collapsed="false">
      <c r="A9" s="4" t="s">
        <v>143</v>
      </c>
      <c r="B9" s="17" t="n">
        <v>2235.58</v>
      </c>
      <c r="C9" s="37" t="n">
        <v>0.06</v>
      </c>
      <c r="D9" s="24" t="n">
        <v>372.6</v>
      </c>
      <c r="E9" s="4" t="n">
        <v>9</v>
      </c>
      <c r="F9" s="4" t="s">
        <v>429</v>
      </c>
    </row>
    <row r="10" customFormat="false" ht="15" hidden="false" customHeight="false" outlineLevel="0" collapsed="false">
      <c r="A10" s="20" t="s">
        <v>131</v>
      </c>
      <c r="B10" s="21" t="n">
        <v>1413.12</v>
      </c>
      <c r="C10" s="38" t="n">
        <v>0.0379</v>
      </c>
      <c r="D10" s="39" t="n">
        <v>235.52</v>
      </c>
      <c r="E10" s="20" t="n">
        <v>6</v>
      </c>
      <c r="F10" s="20" t="s">
        <v>430</v>
      </c>
    </row>
    <row r="11" customFormat="false" ht="15" hidden="false" customHeight="false" outlineLevel="0" collapsed="false">
      <c r="A11" s="4" t="s">
        <v>124</v>
      </c>
      <c r="B11" s="17" t="n">
        <v>1227.5</v>
      </c>
      <c r="C11" s="37" t="n">
        <v>0.033</v>
      </c>
      <c r="D11" s="24" t="n">
        <v>204.58</v>
      </c>
      <c r="E11" s="4" t="n">
        <v>19</v>
      </c>
      <c r="F11" s="4" t="s">
        <v>427</v>
      </c>
    </row>
    <row r="12" customFormat="false" ht="15" hidden="false" customHeight="false" outlineLevel="0" collapsed="false">
      <c r="A12" s="20" t="s">
        <v>117</v>
      </c>
      <c r="B12" s="21" t="n">
        <v>1217.92</v>
      </c>
      <c r="C12" s="38" t="n">
        <v>0.0327</v>
      </c>
      <c r="D12" s="39" t="n">
        <v>202.99</v>
      </c>
      <c r="E12" s="20" t="n">
        <v>14</v>
      </c>
      <c r="F12" s="20" t="s">
        <v>430</v>
      </c>
    </row>
    <row r="13" customFormat="false" ht="15" hidden="false" customHeight="false" outlineLevel="0" collapsed="false">
      <c r="A13" s="4" t="s">
        <v>431</v>
      </c>
      <c r="B13" s="17" t="n">
        <v>205.34</v>
      </c>
      <c r="C13" s="37" t="n">
        <v>0.0055</v>
      </c>
      <c r="D13" s="24" t="n">
        <v>34.22</v>
      </c>
      <c r="E13" s="4" t="n">
        <v>10</v>
      </c>
      <c r="F13" s="4" t="s">
        <v>427</v>
      </c>
    </row>
    <row r="14" customFormat="false" ht="15" hidden="false" customHeight="false" outlineLevel="0" collapsed="false">
      <c r="A14" s="20" t="s">
        <v>199</v>
      </c>
      <c r="B14" s="21" t="n">
        <v>74.43</v>
      </c>
      <c r="C14" s="38" t="n">
        <v>0.002</v>
      </c>
      <c r="D14" s="39" t="n">
        <v>12.41</v>
      </c>
      <c r="E14" s="20" t="n">
        <v>1</v>
      </c>
      <c r="F14" s="20" t="s">
        <v>430</v>
      </c>
    </row>
    <row r="15" customFormat="false" ht="15" hidden="false" customHeight="false" outlineLevel="0" collapsed="false">
      <c r="A15" s="4" t="s">
        <v>10</v>
      </c>
      <c r="B15" s="17" t="n">
        <v>10.9</v>
      </c>
      <c r="C15" s="37" t="n">
        <v>0.0003</v>
      </c>
      <c r="D15" s="24" t="n">
        <v>1.82</v>
      </c>
      <c r="E15" s="4" t="n">
        <v>1</v>
      </c>
      <c r="F15" s="4" t="s">
        <v>429</v>
      </c>
    </row>
    <row r="16" customFormat="false" ht="15" hidden="false" customHeight="false" outlineLevel="0" collapsed="false">
      <c r="A16" s="8" t="s">
        <v>202</v>
      </c>
      <c r="B16" s="10" t="n">
        <f aca="false">SUM(B5:B15)</f>
        <v>37245.76</v>
      </c>
      <c r="E16" s="8" t="n">
        <f aca="false">SUM(E5:E15)</f>
        <v>146</v>
      </c>
    </row>
    <row r="18" customFormat="false" ht="15" hidden="false" customHeight="false" outlineLevel="0" collapsed="false">
      <c r="A18" s="11" t="s">
        <v>432</v>
      </c>
    </row>
    <row r="19" customFormat="false" ht="15" hidden="false" customHeight="false" outlineLevel="0" collapsed="false">
      <c r="A19" s="28" t="s">
        <v>430</v>
      </c>
      <c r="B19" s="24" t="n">
        <f aca="false">SUMIFS(B5:B15,F5:F15,"✅ Essential")</f>
        <v>2705.47</v>
      </c>
      <c r="C19" s="37" t="n">
        <f aca="false">IFERROR(B19/B16,0)</f>
        <v>0.0726383352091621</v>
      </c>
    </row>
    <row r="20" customFormat="false" ht="15" hidden="false" customHeight="false" outlineLevel="0" collapsed="false">
      <c r="A20" s="28" t="s">
        <v>427</v>
      </c>
      <c r="B20" s="24" t="n">
        <f aca="false">SUMIFS(B5:B15,F5:F15,"💡 Discretionary")</f>
        <v>19214.35</v>
      </c>
      <c r="C20" s="37" t="n">
        <f aca="false">IFERROR(B20/B16,0)</f>
        <v>0.515880196833143</v>
      </c>
    </row>
    <row r="21" customFormat="false" ht="15" hidden="false" customHeight="false" outlineLevel="0" collapsed="false">
      <c r="A21" s="28" t="s">
        <v>428</v>
      </c>
      <c r="B21" s="24" t="n">
        <f aca="false">SUMIFS(B5:B15,F5:F15,"⚠ Review")</f>
        <v>13079.46</v>
      </c>
      <c r="C21" s="37" t="n">
        <f aca="false">IFERROR(B21/B16,0)</f>
        <v>0.351166414646929</v>
      </c>
    </row>
    <row r="22" customFormat="false" ht="15" hidden="false" customHeight="false" outlineLevel="0" collapsed="false">
      <c r="A22" s="28" t="s">
        <v>429</v>
      </c>
      <c r="B22" s="24" t="n">
        <f aca="false">SUMIFS(B5:B15,F5:F15,"❓ Unknown")</f>
        <v>2246.48</v>
      </c>
      <c r="C22" s="37" t="n">
        <f aca="false">IFERROR(B22/B16,0)</f>
        <v>0.0603150533107661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433</v>
      </c>
    </row>
    <row r="2" customFormat="false" ht="15" hidden="false" customHeight="false" outlineLevel="0" collapsed="false">
      <c r="A2" s="2" t="s">
        <v>434</v>
      </c>
    </row>
    <row r="4" customFormat="false" ht="15" hidden="false" customHeight="false" outlineLevel="0" collapsed="false">
      <c r="A4" s="3" t="s">
        <v>108</v>
      </c>
      <c r="B4" s="3" t="s">
        <v>435</v>
      </c>
      <c r="C4" s="3" t="s">
        <v>436</v>
      </c>
      <c r="D4" s="3" t="s">
        <v>437</v>
      </c>
      <c r="E4" s="3" t="s">
        <v>438</v>
      </c>
      <c r="F4" s="3" t="s">
        <v>439</v>
      </c>
      <c r="G4" s="3" t="s">
        <v>7</v>
      </c>
    </row>
    <row r="5" customFormat="false" ht="15" hidden="false" customHeight="false" outlineLevel="0" collapsed="false">
      <c r="A5" s="4" t="n">
        <v>1</v>
      </c>
      <c r="B5" s="4" t="s">
        <v>440</v>
      </c>
      <c r="C5" s="4" t="s">
        <v>441</v>
      </c>
      <c r="D5" s="4" t="s">
        <v>442</v>
      </c>
      <c r="E5" s="24" t="n">
        <v>4389.6</v>
      </c>
      <c r="F5" s="7" t="s">
        <v>443</v>
      </c>
      <c r="G5" s="27" t="s">
        <v>221</v>
      </c>
    </row>
    <row r="6" customFormat="false" ht="15" hidden="false" customHeight="false" outlineLevel="0" collapsed="false">
      <c r="A6" s="20" t="n">
        <v>2</v>
      </c>
      <c r="B6" s="20" t="s">
        <v>440</v>
      </c>
      <c r="C6" s="20" t="s">
        <v>444</v>
      </c>
      <c r="D6" s="20" t="s">
        <v>445</v>
      </c>
      <c r="E6" s="39" t="n">
        <v>652788.61</v>
      </c>
      <c r="F6" s="23" t="s">
        <v>446</v>
      </c>
      <c r="G6" s="27" t="s">
        <v>221</v>
      </c>
    </row>
    <row r="7" customFormat="false" ht="15" hidden="false" customHeight="false" outlineLevel="0" collapsed="false">
      <c r="A7" s="4" t="n">
        <v>3</v>
      </c>
      <c r="B7" s="4" t="s">
        <v>440</v>
      </c>
      <c r="C7" s="4" t="s">
        <v>447</v>
      </c>
      <c r="D7" s="4" t="s">
        <v>448</v>
      </c>
      <c r="E7" s="24" t="n">
        <v>7763.28</v>
      </c>
      <c r="F7" s="7" t="s">
        <v>449</v>
      </c>
      <c r="G7" s="27" t="s">
        <v>221</v>
      </c>
    </row>
    <row r="8" customFormat="false" ht="15" hidden="false" customHeight="false" outlineLevel="0" collapsed="false">
      <c r="A8" s="20" t="n">
        <v>4</v>
      </c>
      <c r="B8" s="20" t="s">
        <v>218</v>
      </c>
      <c r="C8" s="20" t="s">
        <v>450</v>
      </c>
      <c r="D8" s="20" t="s">
        <v>451</v>
      </c>
      <c r="E8" s="39" t="n">
        <v>23196.9</v>
      </c>
      <c r="F8" s="23" t="s">
        <v>452</v>
      </c>
      <c r="G8" s="27" t="s">
        <v>221</v>
      </c>
    </row>
    <row r="9" customFormat="false" ht="15" hidden="false" customHeight="false" outlineLevel="0" collapsed="false">
      <c r="A9" s="4" t="n">
        <v>5</v>
      </c>
      <c r="B9" s="4" t="s">
        <v>218</v>
      </c>
      <c r="C9" s="4" t="s">
        <v>453</v>
      </c>
      <c r="D9" s="4" t="s">
        <v>454</v>
      </c>
      <c r="E9" s="24" t="n">
        <v>3474.8</v>
      </c>
      <c r="F9" s="7" t="s">
        <v>455</v>
      </c>
      <c r="G9" s="27" t="s">
        <v>221</v>
      </c>
    </row>
    <row r="10" customFormat="false" ht="15" hidden="false" customHeight="false" outlineLevel="0" collapsed="false">
      <c r="A10" s="20" t="n">
        <v>6</v>
      </c>
      <c r="B10" s="20" t="s">
        <v>218</v>
      </c>
      <c r="C10" s="20" t="s">
        <v>456</v>
      </c>
      <c r="D10" s="20" t="s">
        <v>457</v>
      </c>
      <c r="E10" s="39" t="n">
        <v>19195.81</v>
      </c>
      <c r="F10" s="23" t="s">
        <v>458</v>
      </c>
      <c r="G10" s="27" t="s">
        <v>221</v>
      </c>
    </row>
    <row r="11" customFormat="false" ht="15" hidden="false" customHeight="false" outlineLevel="0" collapsed="false">
      <c r="A11" s="4" t="n">
        <v>7</v>
      </c>
      <c r="B11" s="4" t="s">
        <v>218</v>
      </c>
      <c r="C11" s="4" t="s">
        <v>459</v>
      </c>
      <c r="D11" s="4" t="s">
        <v>460</v>
      </c>
      <c r="E11" s="24" t="n">
        <v>6455.1</v>
      </c>
      <c r="F11" s="7" t="s">
        <v>461</v>
      </c>
      <c r="G11" s="27" t="s">
        <v>221</v>
      </c>
    </row>
    <row r="12" customFormat="false" ht="15" hidden="false" customHeight="false" outlineLevel="0" collapsed="false">
      <c r="A12" s="20" t="n">
        <v>8</v>
      </c>
      <c r="B12" s="20" t="s">
        <v>227</v>
      </c>
      <c r="C12" s="20" t="s">
        <v>462</v>
      </c>
      <c r="D12" s="20" t="s">
        <v>463</v>
      </c>
      <c r="E12" s="39" t="n">
        <v>6624.36</v>
      </c>
      <c r="F12" s="23" t="s">
        <v>464</v>
      </c>
      <c r="G12" s="27" t="s">
        <v>221</v>
      </c>
    </row>
    <row r="13" customFormat="false" ht="15" hidden="false" customHeight="false" outlineLevel="0" collapsed="false">
      <c r="A13" s="4" t="n">
        <v>9</v>
      </c>
      <c r="B13" s="4" t="s">
        <v>227</v>
      </c>
      <c r="C13" s="4" t="s">
        <v>465</v>
      </c>
      <c r="D13" s="4" t="s">
        <v>466</v>
      </c>
      <c r="E13" s="24" t="n">
        <v>9036.83</v>
      </c>
      <c r="F13" s="7" t="s">
        <v>467</v>
      </c>
      <c r="G13" s="27" t="s">
        <v>221</v>
      </c>
    </row>
    <row r="14" customFormat="false" ht="15" hidden="false" customHeight="false" outlineLevel="0" collapsed="false">
      <c r="A14" s="20" t="n">
        <v>10</v>
      </c>
      <c r="B14" s="20" t="s">
        <v>227</v>
      </c>
      <c r="C14" s="20" t="s">
        <v>468</v>
      </c>
      <c r="D14" s="20" t="s">
        <v>469</v>
      </c>
      <c r="E14" s="39" t="n">
        <v>31570.45</v>
      </c>
      <c r="F14" s="23" t="s">
        <v>470</v>
      </c>
      <c r="G14" s="27" t="s">
        <v>221</v>
      </c>
    </row>
    <row r="15" customFormat="false" ht="15" hidden="false" customHeight="false" outlineLevel="0" collapsed="false">
      <c r="A15" s="4" t="n">
        <v>11</v>
      </c>
      <c r="B15" s="4" t="s">
        <v>248</v>
      </c>
      <c r="C15" s="4" t="s">
        <v>74</v>
      </c>
      <c r="D15" s="4" t="s">
        <v>471</v>
      </c>
      <c r="E15" s="24"/>
      <c r="F15" s="7" t="s">
        <v>472</v>
      </c>
      <c r="G15" s="27" t="s">
        <v>473</v>
      </c>
    </row>
    <row r="16" customFormat="false" ht="15" hidden="false" customHeight="false" outlineLevel="0" collapsed="false">
      <c r="A16" s="20" t="n">
        <v>12</v>
      </c>
      <c r="B16" s="20" t="s">
        <v>248</v>
      </c>
      <c r="C16" s="20" t="s">
        <v>474</v>
      </c>
      <c r="D16" s="20" t="s">
        <v>475</v>
      </c>
      <c r="E16" s="39" t="n">
        <v>45000</v>
      </c>
      <c r="F16" s="23" t="s">
        <v>476</v>
      </c>
      <c r="G16" s="27" t="s">
        <v>221</v>
      </c>
    </row>
    <row r="18" customFormat="false" ht="15" hidden="false" customHeight="false" outlineLevel="0" collapsed="false">
      <c r="A18" s="11" t="s">
        <v>372</v>
      </c>
      <c r="C18" s="40" t="s">
        <v>477</v>
      </c>
      <c r="D18" s="40" t="s">
        <v>221</v>
      </c>
    </row>
    <row r="19" customFormat="false" ht="15" hidden="false" customHeight="false" outlineLevel="0" collapsed="false">
      <c r="B19" s="4" t="s">
        <v>440</v>
      </c>
      <c r="C19" s="40" t="n">
        <f aca="false">COUNTIF(B5:B16,"CRITICAL")</f>
        <v>3</v>
      </c>
      <c r="D19" s="4" t="n">
        <f aca="false">COUNTIFS(B5:B16,"CRITICAL",G5:G16,"Pending")</f>
        <v>3</v>
      </c>
    </row>
    <row r="20" customFormat="false" ht="15" hidden="false" customHeight="false" outlineLevel="0" collapsed="false">
      <c r="B20" s="4" t="s">
        <v>218</v>
      </c>
      <c r="C20" s="4" t="n">
        <f aca="false">COUNTIF(B5:B16,"HIGH")</f>
        <v>4</v>
      </c>
      <c r="D20" s="4" t="n">
        <f aca="false">COUNTIFS(B5:B16,"HIGH",G5:G16,"Pending")</f>
        <v>4</v>
      </c>
    </row>
    <row r="21" customFormat="false" ht="15" hidden="false" customHeight="false" outlineLevel="0" collapsed="false">
      <c r="B21" s="4" t="s">
        <v>227</v>
      </c>
      <c r="C21" s="4" t="n">
        <f aca="false">COUNTIF(B5:B16,"MEDIUM")</f>
        <v>3</v>
      </c>
      <c r="D21" s="4" t="n">
        <f aca="false">COUNTIFS(B5:B16,"MEDIUM",G5:G16,"Pending")</f>
        <v>3</v>
      </c>
    </row>
    <row r="22" customFormat="false" ht="15" hidden="false" customHeight="false" outlineLevel="0" collapsed="false">
      <c r="B22" s="4" t="s">
        <v>248</v>
      </c>
      <c r="C22" s="4" t="n">
        <f aca="false">COUNTIF(B5:B16,"LOW")</f>
        <v>2</v>
      </c>
      <c r="D22" s="4" t="n">
        <f aca="false">COUNTIFS(B5:B16,"LOW",G5:G16,"Pending")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2026-08-31T11:53:19Z</dcterms:created>
  <dc:creator>openpyxl</dc:creator>
  <dc:description/>
  <dc:language>en-US</dc:language>
  <cp:lastModifiedBy/>
  <dcterms:modified xsi:type="dcterms:W3CDTF">2026-08-31T11:53:19Z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